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Ruben's\Endava\automation\sys-pay-engine\licenta SysPayEngine VBA\"/>
    </mc:Choice>
  </mc:AlternateContent>
  <xr:revisionPtr revIDLastSave="0" documentId="13_ncr:1_{7F66869B-FDEE-43B6-B0C0-0ACB9DF6C2D5}" xr6:coauthVersionLast="44" xr6:coauthVersionMax="44" xr10:uidLastSave="{00000000-0000-0000-0000-000000000000}"/>
  <bookViews>
    <workbookView xWindow="-7365" yWindow="-16395" windowWidth="29040" windowHeight="15840" activeTab="7" xr2:uid="{00000000-000D-0000-FFFF-FFFF00000000}"/>
  </bookViews>
  <sheets>
    <sheet name="txn" sheetId="1" r:id="rId1"/>
    <sheet name="moffset" sheetId="5" r:id="rId2"/>
    <sheet name="contract" sheetId="6" r:id="rId3"/>
    <sheet name="pricing" sheetId="2" r:id="rId4"/>
    <sheet name="Sheet3" sheetId="12" r:id="rId5"/>
    <sheet name="dataref" sheetId="4" r:id="rId6"/>
    <sheet name="psegm" sheetId="3" r:id="rId7"/>
    <sheet name="invaux" sheetId="7" r:id="rId8"/>
    <sheet name="GeneratedInvoice" sheetId="10" r:id="rId9"/>
    <sheet name="Sheet1" sheetId="9" r:id="rId10"/>
    <sheet name="Sheet2" sheetId="11" r:id="rId11"/>
  </sheets>
  <definedNames>
    <definedName name="_xlnm._FilterDatabase" localSheetId="2" hidden="1">contract!$A$2:$O$332</definedName>
    <definedName name="_xlnm._FilterDatabase" localSheetId="7" hidden="1">invaux!$CA$4:$CA$25</definedName>
    <definedName name="_xlnm._FilterDatabase" localSheetId="3" hidden="1">pricing!$A$3:$AW$3</definedName>
    <definedName name="_xlnm._FilterDatabase" localSheetId="6" hidden="1">psegm!$A$1:$M$46</definedName>
    <definedName name="_xlnm._FilterDatabase" localSheetId="9" hidden="1">Sheet1!$J$4:$J$103</definedName>
    <definedName name="_xlnm._FilterDatabase" localSheetId="10" hidden="1">Sheet2!$A$15:$P$114</definedName>
    <definedName name="_xlnm._FilterDatabase" localSheetId="0" hidden="1">txn!$A$3:$R$89</definedName>
    <definedName name="_xlnm.Extract" localSheetId="8">GeneratedInvoice!$B$21</definedName>
    <definedName name="_xlnm.Extract" localSheetId="7">invaux!$CB$4</definedName>
    <definedName name="_xlnm.Extract" localSheetId="3">pricing!$B$1</definedName>
    <definedName name="_xlnm.Extract" localSheetId="9">Sheet1!$K$4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1" i="10" l="1"/>
  <c r="H10" i="10"/>
  <c r="H12" i="10" l="1"/>
  <c r="D3" i="12"/>
  <c r="D4" i="12"/>
  <c r="D5" i="12"/>
  <c r="D6" i="12"/>
  <c r="D7" i="12"/>
  <c r="D8" i="12"/>
  <c r="D9" i="12"/>
  <c r="D10" i="12"/>
  <c r="D2" i="12"/>
  <c r="C3" i="12"/>
  <c r="C4" i="12"/>
  <c r="C5" i="12"/>
  <c r="C6" i="12"/>
  <c r="C7" i="12"/>
  <c r="C8" i="12"/>
  <c r="C9" i="12"/>
  <c r="C10" i="12"/>
  <c r="C2" i="12"/>
  <c r="Q17" i="9" l="1"/>
  <c r="Q10" i="9"/>
  <c r="Q11" i="9"/>
  <c r="Q12" i="9"/>
  <c r="Q13" i="9"/>
  <c r="Q14" i="9"/>
  <c r="Q15" i="9"/>
  <c r="Q16" i="9"/>
  <c r="Q4" i="9"/>
  <c r="Q5" i="9"/>
  <c r="Q6" i="9"/>
  <c r="Q7" i="9"/>
  <c r="Q8" i="9"/>
  <c r="Q9" i="9"/>
  <c r="Q3" i="9"/>
  <c r="P4" i="9"/>
  <c r="P5" i="9"/>
  <c r="P6" i="9"/>
  <c r="P7" i="9"/>
  <c r="P8" i="9"/>
  <c r="P9" i="9"/>
  <c r="P10" i="9"/>
  <c r="P11" i="9"/>
  <c r="P13" i="9"/>
  <c r="P14" i="9"/>
  <c r="P15" i="9"/>
  <c r="P16" i="9"/>
  <c r="P17" i="9"/>
  <c r="P3" i="9"/>
  <c r="K4" i="9" l="1"/>
  <c r="B1" i="9" l="1"/>
  <c r="D1" i="9"/>
  <c r="F1" i="9"/>
  <c r="H1" i="9"/>
  <c r="J1" i="9"/>
  <c r="B2" i="9"/>
  <c r="D2" i="9"/>
  <c r="F2" i="9"/>
  <c r="H2" i="9"/>
  <c r="J2" i="9"/>
  <c r="B3" i="9"/>
  <c r="D3" i="9"/>
  <c r="F3" i="9"/>
  <c r="H3" i="9"/>
  <c r="J3" i="9"/>
  <c r="B4" i="9"/>
  <c r="D4" i="9"/>
  <c r="F4" i="9"/>
  <c r="H4" i="9"/>
  <c r="J4" i="9"/>
  <c r="B5" i="9"/>
  <c r="D5" i="9"/>
  <c r="F5" i="9"/>
  <c r="H5" i="9"/>
  <c r="J5" i="9"/>
  <c r="B6" i="9"/>
  <c r="D6" i="9"/>
  <c r="F6" i="9"/>
  <c r="H6" i="9"/>
  <c r="J6" i="9"/>
  <c r="B7" i="9"/>
  <c r="D7" i="9"/>
  <c r="F7" i="9"/>
  <c r="H7" i="9"/>
  <c r="J7" i="9"/>
  <c r="B8" i="9"/>
  <c r="D8" i="9"/>
  <c r="F8" i="9"/>
  <c r="H8" i="9"/>
  <c r="J8" i="9"/>
  <c r="B9" i="9"/>
  <c r="D9" i="9"/>
  <c r="F9" i="9"/>
  <c r="H9" i="9"/>
  <c r="J9" i="9"/>
  <c r="B10" i="9"/>
  <c r="D10" i="9"/>
  <c r="F10" i="9"/>
  <c r="H10" i="9"/>
  <c r="J10" i="9"/>
  <c r="B11" i="9"/>
  <c r="D11" i="9"/>
  <c r="F11" i="9"/>
  <c r="H11" i="9"/>
  <c r="J11" i="9"/>
  <c r="B12" i="9"/>
  <c r="D12" i="9"/>
  <c r="F12" i="9"/>
  <c r="H12" i="9"/>
  <c r="J12" i="9"/>
  <c r="B13" i="9"/>
  <c r="D13" i="9"/>
  <c r="F13" i="9"/>
  <c r="H13" i="9"/>
  <c r="J13" i="9"/>
  <c r="B14" i="9"/>
  <c r="D14" i="9"/>
  <c r="F14" i="9"/>
  <c r="H14" i="9"/>
  <c r="J14" i="9"/>
  <c r="B15" i="9"/>
  <c r="D15" i="9"/>
  <c r="F15" i="9"/>
  <c r="H15" i="9"/>
  <c r="J15" i="9"/>
  <c r="B16" i="9"/>
  <c r="D16" i="9"/>
  <c r="F16" i="9"/>
  <c r="H16" i="9"/>
  <c r="J16" i="9"/>
  <c r="B17" i="9"/>
  <c r="D17" i="9"/>
  <c r="F17" i="9"/>
  <c r="H17" i="9"/>
  <c r="J17" i="9"/>
  <c r="B18" i="9"/>
  <c r="D18" i="9"/>
  <c r="F18" i="9"/>
  <c r="H18" i="9"/>
  <c r="J18" i="9"/>
  <c r="B19" i="9"/>
  <c r="D19" i="9"/>
  <c r="F19" i="9"/>
  <c r="H19" i="9"/>
  <c r="J19" i="9"/>
  <c r="B20" i="9"/>
  <c r="D20" i="9"/>
  <c r="F20" i="9"/>
  <c r="H20" i="9"/>
  <c r="J20" i="9"/>
  <c r="B21" i="9"/>
  <c r="D21" i="9"/>
  <c r="F21" i="9"/>
  <c r="H21" i="9"/>
  <c r="J21" i="9"/>
  <c r="B22" i="9"/>
  <c r="D22" i="9"/>
  <c r="F22" i="9"/>
  <c r="H22" i="9"/>
  <c r="J22" i="9"/>
  <c r="B23" i="9"/>
  <c r="D23" i="9"/>
  <c r="F23" i="9"/>
  <c r="H23" i="9"/>
  <c r="J23" i="9"/>
  <c r="B24" i="9"/>
  <c r="D24" i="9"/>
  <c r="F24" i="9"/>
  <c r="H24" i="9"/>
  <c r="J24" i="9"/>
  <c r="B25" i="9"/>
  <c r="D25" i="9"/>
  <c r="F25" i="9"/>
  <c r="H25" i="9"/>
  <c r="J25" i="9"/>
  <c r="B26" i="9"/>
  <c r="D26" i="9"/>
  <c r="F26" i="9"/>
  <c r="H26" i="9"/>
  <c r="J26" i="9"/>
  <c r="B27" i="9"/>
  <c r="D27" i="9"/>
  <c r="F27" i="9"/>
  <c r="H27" i="9"/>
  <c r="J27" i="9"/>
  <c r="B28" i="9"/>
  <c r="D28" i="9"/>
  <c r="F28" i="9"/>
  <c r="H28" i="9"/>
  <c r="J28" i="9"/>
  <c r="B29" i="9"/>
  <c r="D29" i="9"/>
  <c r="F29" i="9"/>
  <c r="H29" i="9"/>
  <c r="J29" i="9"/>
  <c r="B30" i="9"/>
  <c r="D30" i="9"/>
  <c r="F30" i="9"/>
  <c r="H30" i="9"/>
  <c r="J30" i="9"/>
  <c r="B31" i="9"/>
  <c r="D31" i="9"/>
  <c r="F31" i="9"/>
  <c r="H31" i="9"/>
  <c r="J31" i="9"/>
  <c r="B32" i="9"/>
  <c r="D32" i="9"/>
  <c r="F32" i="9"/>
  <c r="H32" i="9"/>
  <c r="J32" i="9"/>
  <c r="B33" i="9"/>
  <c r="D33" i="9"/>
  <c r="F33" i="9"/>
  <c r="H33" i="9"/>
  <c r="J33" i="9"/>
  <c r="B34" i="9"/>
  <c r="D34" i="9"/>
  <c r="F34" i="9"/>
  <c r="H34" i="9"/>
  <c r="J34" i="9"/>
  <c r="B35" i="9"/>
  <c r="D35" i="9"/>
  <c r="F35" i="9"/>
  <c r="H35" i="9"/>
  <c r="J35" i="9"/>
  <c r="B36" i="9"/>
  <c r="D36" i="9"/>
  <c r="F36" i="9"/>
  <c r="H36" i="9"/>
  <c r="J36" i="9"/>
  <c r="B37" i="9"/>
  <c r="D37" i="9"/>
  <c r="F37" i="9"/>
  <c r="H37" i="9"/>
  <c r="J37" i="9"/>
  <c r="B38" i="9"/>
  <c r="D38" i="9"/>
  <c r="F38" i="9"/>
  <c r="H38" i="9"/>
  <c r="J38" i="9"/>
  <c r="B39" i="9"/>
  <c r="D39" i="9"/>
  <c r="F39" i="9"/>
  <c r="H39" i="9"/>
  <c r="J39" i="9"/>
  <c r="B40" i="9"/>
  <c r="D40" i="9"/>
  <c r="F40" i="9"/>
  <c r="H40" i="9"/>
  <c r="J40" i="9"/>
  <c r="B41" i="9"/>
  <c r="D41" i="9"/>
  <c r="F41" i="9"/>
  <c r="H41" i="9"/>
  <c r="J41" i="9"/>
  <c r="B42" i="9"/>
  <c r="D42" i="9"/>
  <c r="F42" i="9"/>
  <c r="H42" i="9"/>
  <c r="J42" i="9"/>
  <c r="K217" i="6" l="1"/>
  <c r="N217" i="6" s="1"/>
  <c r="K216" i="6"/>
  <c r="N216" i="6" s="1"/>
  <c r="K215" i="6"/>
  <c r="N215" i="6" s="1"/>
  <c r="K214" i="6"/>
  <c r="N214" i="6" s="1"/>
  <c r="K213" i="6"/>
  <c r="N213" i="6" s="1"/>
  <c r="K212" i="6"/>
  <c r="N212" i="6" s="1"/>
  <c r="K211" i="6"/>
  <c r="N211" i="6" s="1"/>
  <c r="K210" i="6"/>
  <c r="N210" i="6" s="1"/>
  <c r="K209" i="6"/>
  <c r="N209" i="6" s="1"/>
  <c r="K208" i="6"/>
  <c r="N208" i="6" s="1"/>
  <c r="K207" i="6"/>
  <c r="N207" i="6" s="1"/>
  <c r="K206" i="6"/>
  <c r="N206" i="6" s="1"/>
  <c r="K205" i="6"/>
  <c r="N205" i="6" s="1"/>
  <c r="K204" i="6"/>
  <c r="N204" i="6" s="1"/>
  <c r="K203" i="6"/>
  <c r="N203" i="6" s="1"/>
  <c r="K189" i="6"/>
  <c r="N189" i="6" s="1"/>
  <c r="K170" i="6"/>
  <c r="N170" i="6" s="1"/>
  <c r="K169" i="6"/>
  <c r="N169" i="6" s="1"/>
  <c r="K167" i="6"/>
  <c r="N167" i="6" s="1"/>
  <c r="K166" i="6"/>
  <c r="N166" i="6" s="1"/>
  <c r="K165" i="6"/>
  <c r="N165" i="6" s="1"/>
  <c r="K164" i="6"/>
  <c r="N164" i="6" s="1"/>
  <c r="K163" i="6"/>
  <c r="N163" i="6" s="1"/>
  <c r="K162" i="6"/>
  <c r="N162" i="6" s="1"/>
  <c r="K147" i="6"/>
  <c r="N147" i="6" s="1"/>
  <c r="K130" i="6"/>
  <c r="N130" i="6" s="1"/>
  <c r="K131" i="6"/>
  <c r="N131" i="6" s="1"/>
  <c r="K132" i="6"/>
  <c r="N132" i="6" s="1"/>
  <c r="K133" i="6"/>
  <c r="N133" i="6" s="1"/>
  <c r="K134" i="6"/>
  <c r="N134" i="6" s="1"/>
  <c r="K135" i="6"/>
  <c r="N135" i="6" s="1"/>
  <c r="K136" i="6"/>
  <c r="N136" i="6" s="1"/>
  <c r="K137" i="6"/>
  <c r="N137" i="6" s="1"/>
  <c r="K138" i="6"/>
  <c r="N138" i="6" s="1"/>
  <c r="K139" i="6"/>
  <c r="N139" i="6" s="1"/>
  <c r="K140" i="6"/>
  <c r="N140" i="6" s="1"/>
  <c r="K141" i="6"/>
  <c r="N141" i="6" s="1"/>
  <c r="K142" i="6"/>
  <c r="N142" i="6" s="1"/>
  <c r="K143" i="6"/>
  <c r="N143" i="6" s="1"/>
  <c r="K144" i="6"/>
  <c r="N144" i="6" s="1"/>
  <c r="K145" i="6"/>
  <c r="N145" i="6" s="1"/>
  <c r="K146" i="6"/>
  <c r="N146" i="6" s="1"/>
  <c r="K148" i="6"/>
  <c r="N148" i="6" s="1"/>
  <c r="K149" i="6"/>
  <c r="N149" i="6" s="1"/>
  <c r="K150" i="6"/>
  <c r="N150" i="6" s="1"/>
  <c r="K151" i="6"/>
  <c r="N151" i="6" s="1"/>
  <c r="K152" i="6"/>
  <c r="N152" i="6" s="1"/>
  <c r="K153" i="6"/>
  <c r="N153" i="6" s="1"/>
  <c r="K154" i="6"/>
  <c r="N154" i="6" s="1"/>
  <c r="K155" i="6"/>
  <c r="N155" i="6" s="1"/>
  <c r="K156" i="6"/>
  <c r="N156" i="6" s="1"/>
  <c r="K157" i="6"/>
  <c r="N157" i="6" s="1"/>
  <c r="K158" i="6"/>
  <c r="N158" i="6" s="1"/>
  <c r="K159" i="6"/>
  <c r="N159" i="6" s="1"/>
  <c r="K160" i="6"/>
  <c r="N160" i="6" s="1"/>
  <c r="K161" i="6"/>
  <c r="N161" i="6" s="1"/>
  <c r="K168" i="6"/>
  <c r="N168" i="6" s="1"/>
  <c r="K171" i="6"/>
  <c r="N171" i="6" s="1"/>
  <c r="K172" i="6"/>
  <c r="N172" i="6" s="1"/>
  <c r="K173" i="6"/>
  <c r="N173" i="6" s="1"/>
  <c r="K174" i="6"/>
  <c r="N174" i="6" s="1"/>
  <c r="K175" i="6"/>
  <c r="N175" i="6" s="1"/>
  <c r="K176" i="6"/>
  <c r="N176" i="6" s="1"/>
  <c r="K177" i="6"/>
  <c r="N177" i="6" s="1"/>
  <c r="K178" i="6"/>
  <c r="N178" i="6" s="1"/>
  <c r="K179" i="6"/>
  <c r="N179" i="6" s="1"/>
  <c r="K180" i="6"/>
  <c r="N180" i="6" s="1"/>
  <c r="K181" i="6"/>
  <c r="N181" i="6" s="1"/>
  <c r="K182" i="6"/>
  <c r="N182" i="6" s="1"/>
  <c r="K183" i="6"/>
  <c r="N183" i="6" s="1"/>
  <c r="K184" i="6"/>
  <c r="N184" i="6" s="1"/>
  <c r="K185" i="6"/>
  <c r="N185" i="6" s="1"/>
  <c r="K186" i="6"/>
  <c r="N186" i="6" s="1"/>
  <c r="K187" i="6"/>
  <c r="N187" i="6" s="1"/>
  <c r="K188" i="6"/>
  <c r="N188" i="6" s="1"/>
  <c r="K190" i="6"/>
  <c r="N190" i="6" s="1"/>
  <c r="K191" i="6"/>
  <c r="N191" i="6" s="1"/>
  <c r="K192" i="6"/>
  <c r="N192" i="6" s="1"/>
  <c r="K193" i="6"/>
  <c r="N193" i="6" s="1"/>
  <c r="K194" i="6"/>
  <c r="N194" i="6" s="1"/>
  <c r="K195" i="6"/>
  <c r="N195" i="6" s="1"/>
  <c r="K196" i="6"/>
  <c r="N196" i="6" s="1"/>
  <c r="K197" i="6"/>
  <c r="N197" i="6" s="1"/>
  <c r="K198" i="6"/>
  <c r="N198" i="6" s="1"/>
  <c r="K199" i="6"/>
  <c r="N199" i="6" s="1"/>
  <c r="K200" i="6"/>
  <c r="N200" i="6" s="1"/>
  <c r="K201" i="6"/>
  <c r="N201" i="6" s="1"/>
  <c r="K202" i="6"/>
  <c r="N202" i="6" s="1"/>
  <c r="K129" i="6"/>
  <c r="N129" i="6" s="1"/>
  <c r="K128" i="6"/>
  <c r="N128" i="6" s="1"/>
  <c r="K127" i="6"/>
  <c r="N127" i="6" s="1"/>
  <c r="K126" i="6"/>
  <c r="N126" i="6" s="1"/>
  <c r="K125" i="6"/>
  <c r="N125" i="6" s="1"/>
  <c r="K124" i="6"/>
  <c r="N124" i="6" s="1"/>
  <c r="K123" i="6"/>
  <c r="N123" i="6" s="1"/>
  <c r="K122" i="6"/>
  <c r="N122" i="6" s="1"/>
  <c r="K121" i="6"/>
  <c r="N121" i="6" s="1"/>
  <c r="K120" i="6"/>
  <c r="N120" i="6" s="1"/>
  <c r="K119" i="6"/>
  <c r="N119" i="6" s="1"/>
  <c r="K105" i="6"/>
  <c r="N105" i="6" s="1"/>
  <c r="K86" i="6"/>
  <c r="N86" i="6" s="1"/>
  <c r="K85" i="6"/>
  <c r="N85" i="6" s="1"/>
  <c r="K84" i="6"/>
  <c r="N84" i="6" s="1"/>
  <c r="K83" i="6"/>
  <c r="N83" i="6" s="1"/>
  <c r="K82" i="6"/>
  <c r="N82" i="6" s="1"/>
  <c r="K81" i="6"/>
  <c r="N81" i="6" s="1"/>
  <c r="K80" i="6"/>
  <c r="N80" i="6" s="1"/>
  <c r="K79" i="6"/>
  <c r="N79" i="6" s="1"/>
  <c r="K78" i="6"/>
  <c r="N78" i="6" s="1"/>
  <c r="K77" i="6"/>
  <c r="N77" i="6" s="1"/>
  <c r="K63" i="6"/>
  <c r="N63" i="6" s="1"/>
  <c r="K46" i="6"/>
  <c r="N46" i="6" s="1"/>
  <c r="K47" i="6"/>
  <c r="N47" i="6" s="1"/>
  <c r="K48" i="6"/>
  <c r="N48" i="6" s="1"/>
  <c r="K49" i="6"/>
  <c r="N49" i="6" s="1"/>
  <c r="K50" i="6"/>
  <c r="N50" i="6" s="1"/>
  <c r="K51" i="6"/>
  <c r="N51" i="6" s="1"/>
  <c r="K52" i="6"/>
  <c r="N52" i="6" s="1"/>
  <c r="K53" i="6"/>
  <c r="N53" i="6" s="1"/>
  <c r="K54" i="6"/>
  <c r="N54" i="6" s="1"/>
  <c r="K55" i="6"/>
  <c r="N55" i="6" s="1"/>
  <c r="K56" i="6"/>
  <c r="N56" i="6" s="1"/>
  <c r="K57" i="6"/>
  <c r="N57" i="6" s="1"/>
  <c r="K58" i="6"/>
  <c r="N58" i="6" s="1"/>
  <c r="K59" i="6"/>
  <c r="N59" i="6" s="1"/>
  <c r="K60" i="6"/>
  <c r="N60" i="6" s="1"/>
  <c r="K61" i="6"/>
  <c r="N61" i="6" s="1"/>
  <c r="K62" i="6"/>
  <c r="N62" i="6" s="1"/>
  <c r="K64" i="6"/>
  <c r="N64" i="6" s="1"/>
  <c r="K65" i="6"/>
  <c r="N65" i="6" s="1"/>
  <c r="K66" i="6"/>
  <c r="N66" i="6" s="1"/>
  <c r="K67" i="6"/>
  <c r="N67" i="6" s="1"/>
  <c r="K68" i="6"/>
  <c r="N68" i="6" s="1"/>
  <c r="K69" i="6"/>
  <c r="N69" i="6" s="1"/>
  <c r="K70" i="6"/>
  <c r="N70" i="6" s="1"/>
  <c r="K71" i="6"/>
  <c r="N71" i="6" s="1"/>
  <c r="K72" i="6"/>
  <c r="N72" i="6" s="1"/>
  <c r="K73" i="6"/>
  <c r="N73" i="6" s="1"/>
  <c r="K74" i="6"/>
  <c r="N74" i="6" s="1"/>
  <c r="K75" i="6"/>
  <c r="N75" i="6" s="1"/>
  <c r="K76" i="6"/>
  <c r="N76" i="6" s="1"/>
  <c r="K87" i="6"/>
  <c r="N87" i="6" s="1"/>
  <c r="K88" i="6"/>
  <c r="N88" i="6" s="1"/>
  <c r="K89" i="6"/>
  <c r="N89" i="6" s="1"/>
  <c r="K90" i="6"/>
  <c r="N90" i="6" s="1"/>
  <c r="K91" i="6"/>
  <c r="N91" i="6" s="1"/>
  <c r="K92" i="6"/>
  <c r="N92" i="6" s="1"/>
  <c r="K93" i="6"/>
  <c r="N93" i="6" s="1"/>
  <c r="K94" i="6"/>
  <c r="N94" i="6" s="1"/>
  <c r="K95" i="6"/>
  <c r="N95" i="6" s="1"/>
  <c r="K96" i="6"/>
  <c r="N96" i="6" s="1"/>
  <c r="K97" i="6"/>
  <c r="N97" i="6" s="1"/>
  <c r="K98" i="6"/>
  <c r="N98" i="6" s="1"/>
  <c r="K99" i="6"/>
  <c r="N99" i="6" s="1"/>
  <c r="K100" i="6"/>
  <c r="N100" i="6" s="1"/>
  <c r="K101" i="6"/>
  <c r="N101" i="6" s="1"/>
  <c r="K102" i="6"/>
  <c r="N102" i="6" s="1"/>
  <c r="K103" i="6"/>
  <c r="N103" i="6" s="1"/>
  <c r="K104" i="6"/>
  <c r="N104" i="6" s="1"/>
  <c r="K106" i="6"/>
  <c r="N106" i="6" s="1"/>
  <c r="K107" i="6"/>
  <c r="N107" i="6" s="1"/>
  <c r="K108" i="6"/>
  <c r="N108" i="6" s="1"/>
  <c r="K109" i="6"/>
  <c r="N109" i="6" s="1"/>
  <c r="K110" i="6"/>
  <c r="N110" i="6" s="1"/>
  <c r="K111" i="6"/>
  <c r="N111" i="6" s="1"/>
  <c r="K112" i="6"/>
  <c r="N112" i="6" s="1"/>
  <c r="K113" i="6"/>
  <c r="N113" i="6" s="1"/>
  <c r="K114" i="6"/>
  <c r="N114" i="6" s="1"/>
  <c r="K115" i="6"/>
  <c r="N115" i="6" s="1"/>
  <c r="K116" i="6"/>
  <c r="N116" i="6" s="1"/>
  <c r="K117" i="6"/>
  <c r="N117" i="6" s="1"/>
  <c r="K118" i="6"/>
  <c r="N118" i="6" s="1"/>
  <c r="K45" i="6"/>
  <c r="N45" i="6" s="1"/>
  <c r="K44" i="6"/>
  <c r="N44" i="6" s="1"/>
  <c r="K43" i="6"/>
  <c r="N43" i="6" s="1"/>
  <c r="K41" i="6"/>
  <c r="N41" i="6" s="1"/>
  <c r="K40" i="6"/>
  <c r="N40" i="6" s="1"/>
  <c r="K39" i="6"/>
  <c r="N39" i="6" s="1"/>
  <c r="K38" i="6"/>
  <c r="N38" i="6" s="1"/>
  <c r="K37" i="6"/>
  <c r="N37" i="6" s="1"/>
  <c r="K36" i="6"/>
  <c r="N36" i="6" s="1"/>
  <c r="K23" i="6"/>
  <c r="N23" i="6" s="1"/>
  <c r="K24" i="6"/>
  <c r="N24" i="6" s="1"/>
  <c r="K25" i="6"/>
  <c r="N25" i="6" s="1"/>
  <c r="K26" i="6"/>
  <c r="N26" i="6" s="1"/>
  <c r="K27" i="6"/>
  <c r="N27" i="6" s="1"/>
  <c r="K28" i="6"/>
  <c r="N28" i="6" s="1"/>
  <c r="K29" i="6"/>
  <c r="N29" i="6" s="1"/>
  <c r="K30" i="6"/>
  <c r="N30" i="6" s="1"/>
  <c r="K31" i="6"/>
  <c r="N31" i="6" s="1"/>
  <c r="K32" i="6"/>
  <c r="N32" i="6" s="1"/>
  <c r="K33" i="6"/>
  <c r="N33" i="6" s="1"/>
  <c r="K34" i="6"/>
  <c r="N34" i="6" s="1"/>
  <c r="K35" i="6"/>
  <c r="N35" i="6" s="1"/>
  <c r="K21" i="6"/>
  <c r="N21" i="6" s="1"/>
  <c r="K22" i="6"/>
  <c r="N22" i="6" s="1"/>
  <c r="K20" i="6"/>
  <c r="N20" i="6" s="1"/>
  <c r="K3" i="6"/>
  <c r="N3" i="6" s="1"/>
  <c r="K4" i="6"/>
  <c r="N4" i="6" s="1"/>
  <c r="K5" i="6"/>
  <c r="N5" i="6" s="1"/>
  <c r="K6" i="6"/>
  <c r="N6" i="6" s="1"/>
  <c r="K7" i="6"/>
  <c r="N7" i="6" s="1"/>
  <c r="K8" i="6"/>
  <c r="N8" i="6" s="1"/>
  <c r="K9" i="6"/>
  <c r="N9" i="6" s="1"/>
  <c r="K10" i="6"/>
  <c r="N10" i="6" s="1"/>
  <c r="K11" i="6"/>
  <c r="N11" i="6" s="1"/>
  <c r="K12" i="6"/>
  <c r="N12" i="6" s="1"/>
  <c r="K13" i="6"/>
  <c r="N13" i="6" s="1"/>
  <c r="K14" i="6"/>
  <c r="N14" i="6" s="1"/>
  <c r="K15" i="6"/>
  <c r="N15" i="6" s="1"/>
  <c r="K16" i="6"/>
  <c r="N16" i="6" s="1"/>
  <c r="K17" i="6"/>
  <c r="N17" i="6" s="1"/>
  <c r="K18" i="6"/>
  <c r="N18" i="6" s="1"/>
  <c r="K19" i="6"/>
  <c r="N19" i="6" s="1"/>
  <c r="K42" i="6"/>
  <c r="N42" i="6" s="1"/>
  <c r="O213" i="6" l="1"/>
  <c r="O214" i="6"/>
  <c r="O215" i="6"/>
  <c r="O216" i="6"/>
  <c r="O217" i="6"/>
  <c r="O5" i="6" l="1"/>
  <c r="O6" i="6"/>
  <c r="O7" i="6"/>
  <c r="O13" i="6"/>
  <c r="O14" i="6"/>
  <c r="O15" i="6"/>
  <c r="O21" i="6"/>
  <c r="O22" i="6"/>
  <c r="O23" i="6"/>
  <c r="O29" i="6"/>
  <c r="O30" i="6"/>
  <c r="O31" i="6"/>
  <c r="O37" i="6"/>
  <c r="O38" i="6"/>
  <c r="O39" i="6"/>
  <c r="O45" i="6"/>
  <c r="O46" i="6"/>
  <c r="O47" i="6"/>
  <c r="O53" i="6"/>
  <c r="O54" i="6"/>
  <c r="O55" i="6"/>
  <c r="O61" i="6"/>
  <c r="O62" i="6"/>
  <c r="O63" i="6"/>
  <c r="O69" i="6"/>
  <c r="O70" i="6"/>
  <c r="O71" i="6"/>
  <c r="O77" i="6"/>
  <c r="O78" i="6"/>
  <c r="O79" i="6"/>
  <c r="O85" i="6"/>
  <c r="O86" i="6"/>
  <c r="O87" i="6"/>
  <c r="O93" i="6"/>
  <c r="O94" i="6"/>
  <c r="O95" i="6"/>
  <c r="O101" i="6"/>
  <c r="O102" i="6"/>
  <c r="O103" i="6"/>
  <c r="O109" i="6"/>
  <c r="O110" i="6"/>
  <c r="O111" i="6"/>
  <c r="O117" i="6"/>
  <c r="O118" i="6"/>
  <c r="O119" i="6"/>
  <c r="O125" i="6"/>
  <c r="O126" i="6"/>
  <c r="O127" i="6"/>
  <c r="O132" i="6"/>
  <c r="O133" i="6"/>
  <c r="O134" i="6"/>
  <c r="O135" i="6"/>
  <c r="O140" i="6"/>
  <c r="O141" i="6"/>
  <c r="O142" i="6"/>
  <c r="O143" i="6"/>
  <c r="O148" i="6"/>
  <c r="O149" i="6"/>
  <c r="O150" i="6"/>
  <c r="O151" i="6"/>
  <c r="O156" i="6"/>
  <c r="O157" i="6"/>
  <c r="O158" i="6"/>
  <c r="O159" i="6"/>
  <c r="O164" i="6"/>
  <c r="O165" i="6"/>
  <c r="O166" i="6"/>
  <c r="O167" i="6"/>
  <c r="O172" i="6"/>
  <c r="O173" i="6"/>
  <c r="O174" i="6"/>
  <c r="O175" i="6"/>
  <c r="O180" i="6"/>
  <c r="O181" i="6"/>
  <c r="O182" i="6"/>
  <c r="O183" i="6"/>
  <c r="O188" i="6"/>
  <c r="O189" i="6"/>
  <c r="O190" i="6"/>
  <c r="O191" i="6"/>
  <c r="O196" i="6"/>
  <c r="O197" i="6"/>
  <c r="O198" i="6"/>
  <c r="O199" i="6"/>
  <c r="O204" i="6"/>
  <c r="O205" i="6"/>
  <c r="O206" i="6"/>
  <c r="O207" i="6"/>
  <c r="O212" i="6"/>
  <c r="O3" i="6"/>
  <c r="H633" i="3"/>
  <c r="I633" i="3" s="1"/>
  <c r="G633" i="3"/>
  <c r="H632" i="3"/>
  <c r="I632" i="3" s="1"/>
  <c r="G632" i="3"/>
  <c r="I631" i="3"/>
  <c r="H631" i="3"/>
  <c r="G631" i="3"/>
  <c r="H630" i="3"/>
  <c r="I630" i="3" s="1"/>
  <c r="G630" i="3"/>
  <c r="H629" i="3"/>
  <c r="G629" i="3"/>
  <c r="H628" i="3"/>
  <c r="I628" i="3" s="1"/>
  <c r="G628" i="3"/>
  <c r="I627" i="3"/>
  <c r="H627" i="3"/>
  <c r="G627" i="3"/>
  <c r="H626" i="3"/>
  <c r="I626" i="3" s="1"/>
  <c r="G626" i="3"/>
  <c r="H625" i="3"/>
  <c r="G625" i="3"/>
  <c r="H624" i="3"/>
  <c r="I624" i="3" s="1"/>
  <c r="G624" i="3"/>
  <c r="I623" i="3"/>
  <c r="H623" i="3"/>
  <c r="G623" i="3"/>
  <c r="H622" i="3"/>
  <c r="I622" i="3" s="1"/>
  <c r="G622" i="3"/>
  <c r="H621" i="3"/>
  <c r="I621" i="3" s="1"/>
  <c r="G621" i="3"/>
  <c r="H620" i="3"/>
  <c r="I620" i="3" s="1"/>
  <c r="G620" i="3"/>
  <c r="I619" i="3"/>
  <c r="H619" i="3"/>
  <c r="G619" i="3"/>
  <c r="H618" i="3"/>
  <c r="I618" i="3" s="1"/>
  <c r="G618" i="3"/>
  <c r="H617" i="3"/>
  <c r="G617" i="3"/>
  <c r="I617" i="3" s="1"/>
  <c r="H616" i="3"/>
  <c r="I616" i="3" s="1"/>
  <c r="G616" i="3"/>
  <c r="I615" i="3"/>
  <c r="H615" i="3"/>
  <c r="G615" i="3"/>
  <c r="H614" i="3"/>
  <c r="I614" i="3" s="1"/>
  <c r="G614" i="3"/>
  <c r="H613" i="3"/>
  <c r="G613" i="3"/>
  <c r="I613" i="3" s="1"/>
  <c r="H612" i="3"/>
  <c r="I612" i="3" s="1"/>
  <c r="G612" i="3"/>
  <c r="I611" i="3"/>
  <c r="H611" i="3"/>
  <c r="G611" i="3"/>
  <c r="H610" i="3"/>
  <c r="I610" i="3" s="1"/>
  <c r="G610" i="3"/>
  <c r="H609" i="3"/>
  <c r="G609" i="3"/>
  <c r="I609" i="3" s="1"/>
  <c r="H608" i="3"/>
  <c r="I608" i="3" s="1"/>
  <c r="G608" i="3"/>
  <c r="I607" i="3"/>
  <c r="H607" i="3"/>
  <c r="G607" i="3"/>
  <c r="H606" i="3"/>
  <c r="I606" i="3" s="1"/>
  <c r="G606" i="3"/>
  <c r="H605" i="3"/>
  <c r="G605" i="3"/>
  <c r="I605" i="3" s="1"/>
  <c r="H604" i="3"/>
  <c r="I604" i="3" s="1"/>
  <c r="G604" i="3"/>
  <c r="I603" i="3"/>
  <c r="H603" i="3"/>
  <c r="G603" i="3"/>
  <c r="H602" i="3"/>
  <c r="I602" i="3" s="1"/>
  <c r="G602" i="3"/>
  <c r="H601" i="3"/>
  <c r="G601" i="3"/>
  <c r="I601" i="3" s="1"/>
  <c r="H600" i="3"/>
  <c r="I600" i="3" s="1"/>
  <c r="G600" i="3"/>
  <c r="I599" i="3"/>
  <c r="H599" i="3"/>
  <c r="G599" i="3"/>
  <c r="H598" i="3"/>
  <c r="I598" i="3" s="1"/>
  <c r="G598" i="3"/>
  <c r="H597" i="3"/>
  <c r="G597" i="3"/>
  <c r="I597" i="3" s="1"/>
  <c r="H596" i="3"/>
  <c r="I596" i="3" s="1"/>
  <c r="G596" i="3"/>
  <c r="I595" i="3"/>
  <c r="H595" i="3"/>
  <c r="G595" i="3"/>
  <c r="H594" i="3"/>
  <c r="I594" i="3" s="1"/>
  <c r="G594" i="3"/>
  <c r="H593" i="3"/>
  <c r="G593" i="3"/>
  <c r="H592" i="3"/>
  <c r="I592" i="3" s="1"/>
  <c r="G592" i="3"/>
  <c r="I591" i="3"/>
  <c r="H591" i="3"/>
  <c r="G591" i="3"/>
  <c r="H590" i="3"/>
  <c r="I590" i="3" s="1"/>
  <c r="G590" i="3"/>
  <c r="H589" i="3"/>
  <c r="I589" i="3" s="1"/>
  <c r="G589" i="3"/>
  <c r="H588" i="3"/>
  <c r="I588" i="3" s="1"/>
  <c r="G588" i="3"/>
  <c r="I587" i="3"/>
  <c r="H587" i="3"/>
  <c r="G587" i="3"/>
  <c r="H586" i="3"/>
  <c r="I586" i="3" s="1"/>
  <c r="G586" i="3"/>
  <c r="H585" i="3"/>
  <c r="G585" i="3"/>
  <c r="H584" i="3"/>
  <c r="I584" i="3" s="1"/>
  <c r="G584" i="3"/>
  <c r="I583" i="3"/>
  <c r="H583" i="3"/>
  <c r="G583" i="3"/>
  <c r="H582" i="3"/>
  <c r="I582" i="3" s="1"/>
  <c r="G582" i="3"/>
  <c r="H581" i="3"/>
  <c r="I581" i="3" s="1"/>
  <c r="G581" i="3"/>
  <c r="H580" i="3"/>
  <c r="I580" i="3" s="1"/>
  <c r="G580" i="3"/>
  <c r="I579" i="3"/>
  <c r="H579" i="3"/>
  <c r="G579" i="3"/>
  <c r="H578" i="3"/>
  <c r="I578" i="3" s="1"/>
  <c r="G578" i="3"/>
  <c r="H577" i="3"/>
  <c r="G577" i="3"/>
  <c r="H576" i="3"/>
  <c r="I576" i="3" s="1"/>
  <c r="G576" i="3"/>
  <c r="I575" i="3"/>
  <c r="H575" i="3"/>
  <c r="G575" i="3"/>
  <c r="H574" i="3"/>
  <c r="I574" i="3" s="1"/>
  <c r="G574" i="3"/>
  <c r="H573" i="3"/>
  <c r="I573" i="3" s="1"/>
  <c r="G573" i="3"/>
  <c r="H572" i="3"/>
  <c r="I572" i="3" s="1"/>
  <c r="G572" i="3"/>
  <c r="I571" i="3"/>
  <c r="H571" i="3"/>
  <c r="G571" i="3"/>
  <c r="H570" i="3"/>
  <c r="I570" i="3" s="1"/>
  <c r="G570" i="3"/>
  <c r="H569" i="3"/>
  <c r="G569" i="3"/>
  <c r="H568" i="3"/>
  <c r="I568" i="3" s="1"/>
  <c r="G568" i="3"/>
  <c r="I567" i="3"/>
  <c r="H567" i="3"/>
  <c r="G567" i="3"/>
  <c r="H566" i="3"/>
  <c r="I566" i="3" s="1"/>
  <c r="G566" i="3"/>
  <c r="H565" i="3"/>
  <c r="I565" i="3" s="1"/>
  <c r="G565" i="3"/>
  <c r="H564" i="3"/>
  <c r="I564" i="3" s="1"/>
  <c r="G564" i="3"/>
  <c r="I563" i="3"/>
  <c r="H563" i="3"/>
  <c r="G563" i="3"/>
  <c r="H562" i="3"/>
  <c r="I562" i="3" s="1"/>
  <c r="G562" i="3"/>
  <c r="H561" i="3"/>
  <c r="G561" i="3"/>
  <c r="H560" i="3"/>
  <c r="I560" i="3" s="1"/>
  <c r="G560" i="3"/>
  <c r="I559" i="3"/>
  <c r="H559" i="3"/>
  <c r="G559" i="3"/>
  <c r="H558" i="3"/>
  <c r="I558" i="3" s="1"/>
  <c r="G558" i="3"/>
  <c r="H557" i="3"/>
  <c r="I557" i="3" s="1"/>
  <c r="G557" i="3"/>
  <c r="H556" i="3"/>
  <c r="I556" i="3" s="1"/>
  <c r="G556" i="3"/>
  <c r="I555" i="3"/>
  <c r="H555" i="3"/>
  <c r="G555" i="3"/>
  <c r="H554" i="3"/>
  <c r="I554" i="3" s="1"/>
  <c r="G554" i="3"/>
  <c r="H553" i="3"/>
  <c r="G553" i="3"/>
  <c r="H552" i="3"/>
  <c r="I552" i="3" s="1"/>
  <c r="G552" i="3"/>
  <c r="I551" i="3"/>
  <c r="H551" i="3"/>
  <c r="G551" i="3"/>
  <c r="H550" i="3"/>
  <c r="I550" i="3" s="1"/>
  <c r="G550" i="3"/>
  <c r="H549" i="3"/>
  <c r="G549" i="3"/>
  <c r="H548" i="3"/>
  <c r="I548" i="3" s="1"/>
  <c r="G548" i="3"/>
  <c r="I547" i="3"/>
  <c r="H547" i="3"/>
  <c r="G547" i="3"/>
  <c r="H546" i="3"/>
  <c r="I546" i="3" s="1"/>
  <c r="G546" i="3"/>
  <c r="H545" i="3"/>
  <c r="G545" i="3"/>
  <c r="H544" i="3"/>
  <c r="I544" i="3" s="1"/>
  <c r="G544" i="3"/>
  <c r="I543" i="3"/>
  <c r="H543" i="3"/>
  <c r="G543" i="3"/>
  <c r="H542" i="3"/>
  <c r="I542" i="3" s="1"/>
  <c r="G542" i="3"/>
  <c r="H541" i="3"/>
  <c r="I541" i="3" s="1"/>
  <c r="G541" i="3"/>
  <c r="H540" i="3"/>
  <c r="I540" i="3" s="1"/>
  <c r="G540" i="3"/>
  <c r="I539" i="3"/>
  <c r="H539" i="3"/>
  <c r="G539" i="3"/>
  <c r="H538" i="3"/>
  <c r="I538" i="3" s="1"/>
  <c r="G538" i="3"/>
  <c r="H537" i="3"/>
  <c r="G537" i="3"/>
  <c r="H536" i="3"/>
  <c r="I536" i="3" s="1"/>
  <c r="G536" i="3"/>
  <c r="I535" i="3"/>
  <c r="H535" i="3"/>
  <c r="G535" i="3"/>
  <c r="H534" i="3"/>
  <c r="I534" i="3" s="1"/>
  <c r="G534" i="3"/>
  <c r="H533" i="3"/>
  <c r="G533" i="3"/>
  <c r="H532" i="3"/>
  <c r="I532" i="3" s="1"/>
  <c r="G532" i="3"/>
  <c r="I531" i="3"/>
  <c r="H531" i="3"/>
  <c r="G531" i="3"/>
  <c r="H530" i="3"/>
  <c r="I530" i="3" s="1"/>
  <c r="G530" i="3"/>
  <c r="H529" i="3"/>
  <c r="G529" i="3"/>
  <c r="H528" i="3"/>
  <c r="I528" i="3" s="1"/>
  <c r="G528" i="3"/>
  <c r="I527" i="3"/>
  <c r="H527" i="3"/>
  <c r="G527" i="3"/>
  <c r="H526" i="3"/>
  <c r="I526" i="3" s="1"/>
  <c r="G526" i="3"/>
  <c r="H525" i="3"/>
  <c r="I525" i="3" s="1"/>
  <c r="G525" i="3"/>
  <c r="H524" i="3"/>
  <c r="I524" i="3" s="1"/>
  <c r="G524" i="3"/>
  <c r="I523" i="3"/>
  <c r="H523" i="3"/>
  <c r="G523" i="3"/>
  <c r="H522" i="3"/>
  <c r="I522" i="3" s="1"/>
  <c r="G522" i="3"/>
  <c r="H521" i="3"/>
  <c r="G521" i="3"/>
  <c r="H520" i="3"/>
  <c r="I520" i="3" s="1"/>
  <c r="G520" i="3"/>
  <c r="I519" i="3"/>
  <c r="H519" i="3"/>
  <c r="G519" i="3"/>
  <c r="H518" i="3"/>
  <c r="I518" i="3" s="1"/>
  <c r="G518" i="3"/>
  <c r="H517" i="3"/>
  <c r="G517" i="3"/>
  <c r="H516" i="3"/>
  <c r="I516" i="3" s="1"/>
  <c r="G516" i="3"/>
  <c r="I515" i="3"/>
  <c r="H515" i="3"/>
  <c r="G515" i="3"/>
  <c r="H514" i="3"/>
  <c r="I514" i="3" s="1"/>
  <c r="G514" i="3"/>
  <c r="H513" i="3"/>
  <c r="G513" i="3"/>
  <c r="H512" i="3"/>
  <c r="I512" i="3" s="1"/>
  <c r="G512" i="3"/>
  <c r="I511" i="3"/>
  <c r="H511" i="3"/>
  <c r="G511" i="3"/>
  <c r="H510" i="3"/>
  <c r="I510" i="3" s="1"/>
  <c r="G510" i="3"/>
  <c r="H509" i="3"/>
  <c r="I509" i="3" s="1"/>
  <c r="G509" i="3"/>
  <c r="H508" i="3"/>
  <c r="I508" i="3" s="1"/>
  <c r="G508" i="3"/>
  <c r="I507" i="3"/>
  <c r="H507" i="3"/>
  <c r="G507" i="3"/>
  <c r="H506" i="3"/>
  <c r="I506" i="3" s="1"/>
  <c r="G506" i="3"/>
  <c r="H505" i="3"/>
  <c r="G505" i="3"/>
  <c r="H504" i="3"/>
  <c r="I504" i="3" s="1"/>
  <c r="G504" i="3"/>
  <c r="I503" i="3"/>
  <c r="H503" i="3"/>
  <c r="G503" i="3"/>
  <c r="H502" i="3"/>
  <c r="I502" i="3" s="1"/>
  <c r="G502" i="3"/>
  <c r="H501" i="3"/>
  <c r="G501" i="3"/>
  <c r="H500" i="3"/>
  <c r="I500" i="3" s="1"/>
  <c r="G500" i="3"/>
  <c r="I499" i="3"/>
  <c r="H499" i="3"/>
  <c r="G499" i="3"/>
  <c r="H498" i="3"/>
  <c r="I498" i="3" s="1"/>
  <c r="G498" i="3"/>
  <c r="H497" i="3"/>
  <c r="G497" i="3"/>
  <c r="H496" i="3"/>
  <c r="I496" i="3" s="1"/>
  <c r="G496" i="3"/>
  <c r="I495" i="3"/>
  <c r="H495" i="3"/>
  <c r="G495" i="3"/>
  <c r="H494" i="3"/>
  <c r="I494" i="3" s="1"/>
  <c r="G494" i="3"/>
  <c r="H493" i="3"/>
  <c r="I493" i="3" s="1"/>
  <c r="G493" i="3"/>
  <c r="H492" i="3"/>
  <c r="I492" i="3" s="1"/>
  <c r="G492" i="3"/>
  <c r="I491" i="3"/>
  <c r="H491" i="3"/>
  <c r="G491" i="3"/>
  <c r="H490" i="3"/>
  <c r="I490" i="3" s="1"/>
  <c r="G490" i="3"/>
  <c r="H489" i="3"/>
  <c r="G489" i="3"/>
  <c r="H488" i="3"/>
  <c r="I488" i="3" s="1"/>
  <c r="G488" i="3"/>
  <c r="I487" i="3"/>
  <c r="H487" i="3"/>
  <c r="G487" i="3"/>
  <c r="H486" i="3"/>
  <c r="I486" i="3" s="1"/>
  <c r="G486" i="3"/>
  <c r="H485" i="3"/>
  <c r="G485" i="3"/>
  <c r="H484" i="3"/>
  <c r="I484" i="3" s="1"/>
  <c r="G484" i="3"/>
  <c r="I483" i="3"/>
  <c r="H483" i="3"/>
  <c r="G483" i="3"/>
  <c r="H482" i="3"/>
  <c r="I482" i="3" s="1"/>
  <c r="G482" i="3"/>
  <c r="H481" i="3"/>
  <c r="G481" i="3"/>
  <c r="H480" i="3"/>
  <c r="I480" i="3" s="1"/>
  <c r="G480" i="3"/>
  <c r="I479" i="3"/>
  <c r="H479" i="3"/>
  <c r="G479" i="3"/>
  <c r="H478" i="3"/>
  <c r="I478" i="3" s="1"/>
  <c r="G478" i="3"/>
  <c r="H477" i="3"/>
  <c r="I477" i="3" s="1"/>
  <c r="G477" i="3"/>
  <c r="H476" i="3"/>
  <c r="I476" i="3" s="1"/>
  <c r="G476" i="3"/>
  <c r="I475" i="3"/>
  <c r="H475" i="3"/>
  <c r="G475" i="3"/>
  <c r="H474" i="3"/>
  <c r="I474" i="3" s="1"/>
  <c r="G474" i="3"/>
  <c r="H473" i="3"/>
  <c r="G473" i="3"/>
  <c r="H472" i="3"/>
  <c r="I472" i="3" s="1"/>
  <c r="G472" i="3"/>
  <c r="I471" i="3"/>
  <c r="H471" i="3"/>
  <c r="G471" i="3"/>
  <c r="H470" i="3"/>
  <c r="I470" i="3" s="1"/>
  <c r="G470" i="3"/>
  <c r="H469" i="3"/>
  <c r="G469" i="3"/>
  <c r="H468" i="3"/>
  <c r="I468" i="3" s="1"/>
  <c r="G468" i="3"/>
  <c r="I467" i="3"/>
  <c r="H467" i="3"/>
  <c r="G467" i="3"/>
  <c r="H466" i="3"/>
  <c r="I466" i="3" s="1"/>
  <c r="G466" i="3"/>
  <c r="H465" i="3"/>
  <c r="G465" i="3"/>
  <c r="H464" i="3"/>
  <c r="I464" i="3" s="1"/>
  <c r="G464" i="3"/>
  <c r="I463" i="3"/>
  <c r="H463" i="3"/>
  <c r="G463" i="3"/>
  <c r="H462" i="3"/>
  <c r="I462" i="3" s="1"/>
  <c r="G462" i="3"/>
  <c r="H461" i="3"/>
  <c r="I461" i="3" s="1"/>
  <c r="G461" i="3"/>
  <c r="H460" i="3"/>
  <c r="I460" i="3" s="1"/>
  <c r="G460" i="3"/>
  <c r="I459" i="3"/>
  <c r="H459" i="3"/>
  <c r="G459" i="3"/>
  <c r="H458" i="3"/>
  <c r="I458" i="3" s="1"/>
  <c r="G458" i="3"/>
  <c r="H457" i="3"/>
  <c r="G457" i="3"/>
  <c r="H456" i="3"/>
  <c r="I456" i="3" s="1"/>
  <c r="G456" i="3"/>
  <c r="I455" i="3"/>
  <c r="H455" i="3"/>
  <c r="G455" i="3"/>
  <c r="H454" i="3"/>
  <c r="I454" i="3" s="1"/>
  <c r="G454" i="3"/>
  <c r="H453" i="3"/>
  <c r="G453" i="3"/>
  <c r="H452" i="3"/>
  <c r="I452" i="3" s="1"/>
  <c r="G452" i="3"/>
  <c r="I451" i="3"/>
  <c r="H451" i="3"/>
  <c r="G451" i="3"/>
  <c r="H450" i="3"/>
  <c r="I450" i="3" s="1"/>
  <c r="G450" i="3"/>
  <c r="H449" i="3"/>
  <c r="G449" i="3"/>
  <c r="H448" i="3"/>
  <c r="I448" i="3" s="1"/>
  <c r="G448" i="3"/>
  <c r="I447" i="3"/>
  <c r="H447" i="3"/>
  <c r="G447" i="3"/>
  <c r="H446" i="3"/>
  <c r="I446" i="3" s="1"/>
  <c r="G446" i="3"/>
  <c r="H445" i="3"/>
  <c r="I445" i="3" s="1"/>
  <c r="G445" i="3"/>
  <c r="H444" i="3"/>
  <c r="I444" i="3" s="1"/>
  <c r="G444" i="3"/>
  <c r="I443" i="3"/>
  <c r="H443" i="3"/>
  <c r="G443" i="3"/>
  <c r="H442" i="3"/>
  <c r="I442" i="3" s="1"/>
  <c r="G442" i="3"/>
  <c r="H441" i="3"/>
  <c r="G441" i="3"/>
  <c r="H440" i="3"/>
  <c r="I440" i="3" s="1"/>
  <c r="G440" i="3"/>
  <c r="I439" i="3"/>
  <c r="H439" i="3"/>
  <c r="G439" i="3"/>
  <c r="H438" i="3"/>
  <c r="I438" i="3" s="1"/>
  <c r="G438" i="3"/>
  <c r="H437" i="3"/>
  <c r="G437" i="3"/>
  <c r="H436" i="3"/>
  <c r="I436" i="3" s="1"/>
  <c r="G436" i="3"/>
  <c r="I435" i="3"/>
  <c r="H435" i="3"/>
  <c r="G435" i="3"/>
  <c r="H434" i="3"/>
  <c r="I434" i="3" s="1"/>
  <c r="G434" i="3"/>
  <c r="H433" i="3"/>
  <c r="G433" i="3"/>
  <c r="H432" i="3"/>
  <c r="I432" i="3" s="1"/>
  <c r="G432" i="3"/>
  <c r="I431" i="3"/>
  <c r="H431" i="3"/>
  <c r="G431" i="3"/>
  <c r="H430" i="3"/>
  <c r="I430" i="3" s="1"/>
  <c r="G430" i="3"/>
  <c r="H429" i="3"/>
  <c r="I429" i="3" s="1"/>
  <c r="G429" i="3"/>
  <c r="H428" i="3"/>
  <c r="I428" i="3" s="1"/>
  <c r="G428" i="3"/>
  <c r="I427" i="3"/>
  <c r="H427" i="3"/>
  <c r="G427" i="3"/>
  <c r="H426" i="3"/>
  <c r="I426" i="3" s="1"/>
  <c r="G426" i="3"/>
  <c r="H425" i="3"/>
  <c r="G425" i="3"/>
  <c r="H424" i="3"/>
  <c r="I424" i="3" s="1"/>
  <c r="G424" i="3"/>
  <c r="I423" i="3"/>
  <c r="H423" i="3"/>
  <c r="G423" i="3"/>
  <c r="H422" i="3"/>
  <c r="I422" i="3" s="1"/>
  <c r="G422" i="3"/>
  <c r="H421" i="3"/>
  <c r="G421" i="3"/>
  <c r="H420" i="3"/>
  <c r="I420" i="3" s="1"/>
  <c r="G420" i="3"/>
  <c r="I419" i="3"/>
  <c r="H419" i="3"/>
  <c r="G419" i="3"/>
  <c r="H418" i="3"/>
  <c r="I418" i="3" s="1"/>
  <c r="G418" i="3"/>
  <c r="H417" i="3"/>
  <c r="G417" i="3"/>
  <c r="H416" i="3"/>
  <c r="I416" i="3" s="1"/>
  <c r="G416" i="3"/>
  <c r="I415" i="3"/>
  <c r="H415" i="3"/>
  <c r="G415" i="3"/>
  <c r="H414" i="3"/>
  <c r="I414" i="3" s="1"/>
  <c r="G414" i="3"/>
  <c r="H413" i="3"/>
  <c r="I413" i="3" s="1"/>
  <c r="G413" i="3"/>
  <c r="H412" i="3"/>
  <c r="I412" i="3" s="1"/>
  <c r="G412" i="3"/>
  <c r="I411" i="3"/>
  <c r="H411" i="3"/>
  <c r="G411" i="3"/>
  <c r="H410" i="3"/>
  <c r="I410" i="3" s="1"/>
  <c r="G410" i="3"/>
  <c r="H409" i="3"/>
  <c r="G409" i="3"/>
  <c r="H408" i="3"/>
  <c r="I408" i="3" s="1"/>
  <c r="G408" i="3"/>
  <c r="I407" i="3"/>
  <c r="H407" i="3"/>
  <c r="G407" i="3"/>
  <c r="H406" i="3"/>
  <c r="I406" i="3" s="1"/>
  <c r="G406" i="3"/>
  <c r="H405" i="3"/>
  <c r="G405" i="3"/>
  <c r="H404" i="3"/>
  <c r="I404" i="3" s="1"/>
  <c r="G404" i="3"/>
  <c r="I403" i="3"/>
  <c r="H403" i="3"/>
  <c r="G403" i="3"/>
  <c r="H402" i="3"/>
  <c r="I402" i="3" s="1"/>
  <c r="G402" i="3"/>
  <c r="H401" i="3"/>
  <c r="G401" i="3"/>
  <c r="H400" i="3"/>
  <c r="I400" i="3" s="1"/>
  <c r="G400" i="3"/>
  <c r="I399" i="3"/>
  <c r="H399" i="3"/>
  <c r="G399" i="3"/>
  <c r="H398" i="3"/>
  <c r="I398" i="3" s="1"/>
  <c r="G398" i="3"/>
  <c r="H397" i="3"/>
  <c r="I397" i="3" s="1"/>
  <c r="G397" i="3"/>
  <c r="H396" i="3"/>
  <c r="I396" i="3" s="1"/>
  <c r="G396" i="3"/>
  <c r="I395" i="3"/>
  <c r="H395" i="3"/>
  <c r="G395" i="3"/>
  <c r="H394" i="3"/>
  <c r="I394" i="3" s="1"/>
  <c r="G394" i="3"/>
  <c r="H393" i="3"/>
  <c r="G393" i="3"/>
  <c r="H392" i="3"/>
  <c r="I392" i="3" s="1"/>
  <c r="G392" i="3"/>
  <c r="I391" i="3"/>
  <c r="H391" i="3"/>
  <c r="G391" i="3"/>
  <c r="H390" i="3"/>
  <c r="I390" i="3" s="1"/>
  <c r="G390" i="3"/>
  <c r="H389" i="3"/>
  <c r="G389" i="3"/>
  <c r="H388" i="3"/>
  <c r="I388" i="3" s="1"/>
  <c r="G388" i="3"/>
  <c r="I387" i="3"/>
  <c r="H387" i="3"/>
  <c r="G387" i="3"/>
  <c r="H386" i="3"/>
  <c r="I386" i="3" s="1"/>
  <c r="G386" i="3"/>
  <c r="H385" i="3"/>
  <c r="G385" i="3"/>
  <c r="H384" i="3"/>
  <c r="I384" i="3" s="1"/>
  <c r="G384" i="3"/>
  <c r="I383" i="3"/>
  <c r="H383" i="3"/>
  <c r="G383" i="3"/>
  <c r="H382" i="3"/>
  <c r="I382" i="3" s="1"/>
  <c r="G382" i="3"/>
  <c r="H381" i="3"/>
  <c r="I381" i="3" s="1"/>
  <c r="G381" i="3"/>
  <c r="H380" i="3"/>
  <c r="I380" i="3" s="1"/>
  <c r="G380" i="3"/>
  <c r="I379" i="3"/>
  <c r="H379" i="3"/>
  <c r="G379" i="3"/>
  <c r="H378" i="3"/>
  <c r="I378" i="3" s="1"/>
  <c r="G378" i="3"/>
  <c r="H377" i="3"/>
  <c r="G377" i="3"/>
  <c r="H376" i="3"/>
  <c r="I376" i="3" s="1"/>
  <c r="G376" i="3"/>
  <c r="I375" i="3"/>
  <c r="H375" i="3"/>
  <c r="G375" i="3"/>
  <c r="I374" i="3"/>
  <c r="H374" i="3"/>
  <c r="G374" i="3"/>
  <c r="H373" i="3"/>
  <c r="G373" i="3"/>
  <c r="H372" i="3"/>
  <c r="I372" i="3" s="1"/>
  <c r="G372" i="3"/>
  <c r="I371" i="3"/>
  <c r="H371" i="3"/>
  <c r="G371" i="3"/>
  <c r="H370" i="3"/>
  <c r="I370" i="3" s="1"/>
  <c r="G370" i="3"/>
  <c r="H369" i="3"/>
  <c r="I369" i="3" s="1"/>
  <c r="G369" i="3"/>
  <c r="H368" i="3"/>
  <c r="G368" i="3"/>
  <c r="I367" i="3"/>
  <c r="H367" i="3"/>
  <c r="G367" i="3"/>
  <c r="I366" i="3"/>
  <c r="H366" i="3"/>
  <c r="G366" i="3"/>
  <c r="H365" i="3"/>
  <c r="G365" i="3"/>
  <c r="H364" i="3"/>
  <c r="I364" i="3" s="1"/>
  <c r="G364" i="3"/>
  <c r="I363" i="3"/>
  <c r="H363" i="3"/>
  <c r="G363" i="3"/>
  <c r="H362" i="3"/>
  <c r="I362" i="3" s="1"/>
  <c r="G362" i="3"/>
  <c r="H361" i="3"/>
  <c r="I361" i="3" s="1"/>
  <c r="G361" i="3"/>
  <c r="H360" i="3"/>
  <c r="G360" i="3"/>
  <c r="I359" i="3"/>
  <c r="H359" i="3"/>
  <c r="G359" i="3"/>
  <c r="I358" i="3"/>
  <c r="H358" i="3"/>
  <c r="G358" i="3"/>
  <c r="H357" i="3"/>
  <c r="G357" i="3"/>
  <c r="H356" i="3"/>
  <c r="I356" i="3" s="1"/>
  <c r="G356" i="3"/>
  <c r="I355" i="3"/>
  <c r="H355" i="3"/>
  <c r="G355" i="3"/>
  <c r="H354" i="3"/>
  <c r="I354" i="3" s="1"/>
  <c r="G354" i="3"/>
  <c r="H353" i="3"/>
  <c r="I353" i="3" s="1"/>
  <c r="G353" i="3"/>
  <c r="H352" i="3"/>
  <c r="I352" i="3" s="1"/>
  <c r="G352" i="3"/>
  <c r="I351" i="3"/>
  <c r="H351" i="3"/>
  <c r="G351" i="3"/>
  <c r="I350" i="3"/>
  <c r="H350" i="3"/>
  <c r="G350" i="3"/>
  <c r="H349" i="3"/>
  <c r="I349" i="3" s="1"/>
  <c r="G349" i="3"/>
  <c r="H348" i="3"/>
  <c r="I348" i="3" s="1"/>
  <c r="G348" i="3"/>
  <c r="I347" i="3"/>
  <c r="H347" i="3"/>
  <c r="G347" i="3"/>
  <c r="H346" i="3"/>
  <c r="I346" i="3" s="1"/>
  <c r="G346" i="3"/>
  <c r="H345" i="3"/>
  <c r="I345" i="3" s="1"/>
  <c r="G345" i="3"/>
  <c r="H344" i="3"/>
  <c r="G344" i="3"/>
  <c r="I343" i="3"/>
  <c r="H343" i="3"/>
  <c r="G343" i="3"/>
  <c r="I342" i="3"/>
  <c r="H342" i="3"/>
  <c r="G342" i="3"/>
  <c r="H341" i="3"/>
  <c r="G341" i="3"/>
  <c r="H340" i="3"/>
  <c r="I340" i="3" s="1"/>
  <c r="G340" i="3"/>
  <c r="I339" i="3"/>
  <c r="H339" i="3"/>
  <c r="G339" i="3"/>
  <c r="H338" i="3"/>
  <c r="I338" i="3" s="1"/>
  <c r="G338" i="3"/>
  <c r="H337" i="3"/>
  <c r="I337" i="3" s="1"/>
  <c r="G337" i="3"/>
  <c r="H336" i="3"/>
  <c r="G336" i="3"/>
  <c r="I335" i="3"/>
  <c r="H335" i="3"/>
  <c r="G335" i="3"/>
  <c r="I334" i="3"/>
  <c r="H334" i="3"/>
  <c r="G334" i="3"/>
  <c r="H333" i="3"/>
  <c r="G333" i="3"/>
  <c r="H332" i="3"/>
  <c r="I332" i="3" s="1"/>
  <c r="G332" i="3"/>
  <c r="I331" i="3"/>
  <c r="H331" i="3"/>
  <c r="G331" i="3"/>
  <c r="H330" i="3"/>
  <c r="I330" i="3" s="1"/>
  <c r="G330" i="3"/>
  <c r="H329" i="3"/>
  <c r="I329" i="3" s="1"/>
  <c r="G329" i="3"/>
  <c r="H328" i="3"/>
  <c r="G328" i="3"/>
  <c r="I327" i="3"/>
  <c r="H327" i="3"/>
  <c r="G327" i="3"/>
  <c r="I326" i="3"/>
  <c r="H326" i="3"/>
  <c r="G326" i="3"/>
  <c r="H325" i="3"/>
  <c r="G325" i="3"/>
  <c r="H324" i="3"/>
  <c r="I324" i="3" s="1"/>
  <c r="G324" i="3"/>
  <c r="I323" i="3"/>
  <c r="H323" i="3"/>
  <c r="G323" i="3"/>
  <c r="H322" i="3"/>
  <c r="I322" i="3" s="1"/>
  <c r="G322" i="3"/>
  <c r="H321" i="3"/>
  <c r="I321" i="3" s="1"/>
  <c r="G321" i="3"/>
  <c r="H320" i="3"/>
  <c r="I320" i="3" s="1"/>
  <c r="G320" i="3"/>
  <c r="I319" i="3"/>
  <c r="H319" i="3"/>
  <c r="G319" i="3"/>
  <c r="I318" i="3"/>
  <c r="H318" i="3"/>
  <c r="G318" i="3"/>
  <c r="H317" i="3"/>
  <c r="I317" i="3" s="1"/>
  <c r="G317" i="3"/>
  <c r="H316" i="3"/>
  <c r="I316" i="3" s="1"/>
  <c r="G316" i="3"/>
  <c r="I315" i="3"/>
  <c r="H315" i="3"/>
  <c r="G315" i="3"/>
  <c r="H314" i="3"/>
  <c r="I314" i="3" s="1"/>
  <c r="G314" i="3"/>
  <c r="H313" i="3"/>
  <c r="I313" i="3" s="1"/>
  <c r="G313" i="3"/>
  <c r="H312" i="3"/>
  <c r="G312" i="3"/>
  <c r="I311" i="3"/>
  <c r="H311" i="3"/>
  <c r="G311" i="3"/>
  <c r="I310" i="3"/>
  <c r="H310" i="3"/>
  <c r="G310" i="3"/>
  <c r="H309" i="3"/>
  <c r="G309" i="3"/>
  <c r="H308" i="3"/>
  <c r="I308" i="3" s="1"/>
  <c r="G308" i="3"/>
  <c r="I307" i="3"/>
  <c r="H307" i="3"/>
  <c r="G307" i="3"/>
  <c r="H306" i="3"/>
  <c r="I306" i="3" s="1"/>
  <c r="G306" i="3"/>
  <c r="H305" i="3"/>
  <c r="I305" i="3" s="1"/>
  <c r="G305" i="3"/>
  <c r="H304" i="3"/>
  <c r="G304" i="3"/>
  <c r="I303" i="3"/>
  <c r="H303" i="3"/>
  <c r="G303" i="3"/>
  <c r="H302" i="3"/>
  <c r="I302" i="3" s="1"/>
  <c r="G302" i="3"/>
  <c r="H301" i="3"/>
  <c r="G301" i="3"/>
  <c r="H300" i="3"/>
  <c r="I300" i="3" s="1"/>
  <c r="G300" i="3"/>
  <c r="H299" i="3"/>
  <c r="G299" i="3"/>
  <c r="I299" i="3" s="1"/>
  <c r="H298" i="3"/>
  <c r="I298" i="3" s="1"/>
  <c r="G298" i="3"/>
  <c r="I297" i="3"/>
  <c r="H297" i="3"/>
  <c r="G297" i="3"/>
  <c r="H296" i="3"/>
  <c r="G296" i="3"/>
  <c r="H295" i="3"/>
  <c r="I295" i="3" s="1"/>
  <c r="G295" i="3"/>
  <c r="H294" i="3"/>
  <c r="G294" i="3"/>
  <c r="I294" i="3" s="1"/>
  <c r="I293" i="3"/>
  <c r="H293" i="3"/>
  <c r="G293" i="3"/>
  <c r="I292" i="3"/>
  <c r="H292" i="3"/>
  <c r="G292" i="3"/>
  <c r="H291" i="3"/>
  <c r="G291" i="3"/>
  <c r="H290" i="3"/>
  <c r="G290" i="3"/>
  <c r="I290" i="3" s="1"/>
  <c r="I289" i="3"/>
  <c r="H289" i="3"/>
  <c r="G289" i="3"/>
  <c r="H288" i="3"/>
  <c r="I288" i="3" s="1"/>
  <c r="G288" i="3"/>
  <c r="H287" i="3"/>
  <c r="G287" i="3"/>
  <c r="I286" i="3"/>
  <c r="H286" i="3"/>
  <c r="G286" i="3"/>
  <c r="H285" i="3"/>
  <c r="I285" i="3" s="1"/>
  <c r="G285" i="3"/>
  <c r="H284" i="3"/>
  <c r="I284" i="3" s="1"/>
  <c r="G284" i="3"/>
  <c r="H283" i="3"/>
  <c r="I283" i="3" s="1"/>
  <c r="G283" i="3"/>
  <c r="I282" i="3"/>
  <c r="H282" i="3"/>
  <c r="G282" i="3"/>
  <c r="H281" i="3"/>
  <c r="I281" i="3" s="1"/>
  <c r="G281" i="3"/>
  <c r="H280" i="3"/>
  <c r="G280" i="3"/>
  <c r="I280" i="3" s="1"/>
  <c r="H279" i="3"/>
  <c r="I279" i="3" s="1"/>
  <c r="G279" i="3"/>
  <c r="H278" i="3"/>
  <c r="G278" i="3"/>
  <c r="I278" i="3" s="1"/>
  <c r="I277" i="3"/>
  <c r="H277" i="3"/>
  <c r="G277" i="3"/>
  <c r="I276" i="3"/>
  <c r="H276" i="3"/>
  <c r="G276" i="3"/>
  <c r="H275" i="3"/>
  <c r="G275" i="3"/>
  <c r="H274" i="3"/>
  <c r="G274" i="3"/>
  <c r="I274" i="3" s="1"/>
  <c r="I273" i="3"/>
  <c r="H273" i="3"/>
  <c r="G273" i="3"/>
  <c r="H272" i="3"/>
  <c r="I272" i="3" s="1"/>
  <c r="G272" i="3"/>
  <c r="H271" i="3"/>
  <c r="G271" i="3"/>
  <c r="I270" i="3"/>
  <c r="H270" i="3"/>
  <c r="G270" i="3"/>
  <c r="H269" i="3"/>
  <c r="I269" i="3" s="1"/>
  <c r="G269" i="3"/>
  <c r="H268" i="3"/>
  <c r="I268" i="3" s="1"/>
  <c r="G268" i="3"/>
  <c r="H267" i="3"/>
  <c r="I267" i="3" s="1"/>
  <c r="G267" i="3"/>
  <c r="I266" i="3"/>
  <c r="H266" i="3"/>
  <c r="G266" i="3"/>
  <c r="H265" i="3"/>
  <c r="I265" i="3" s="1"/>
  <c r="G265" i="3"/>
  <c r="H264" i="3"/>
  <c r="G264" i="3"/>
  <c r="I264" i="3" s="1"/>
  <c r="H263" i="3"/>
  <c r="I263" i="3" s="1"/>
  <c r="G263" i="3"/>
  <c r="H262" i="3"/>
  <c r="G262" i="3"/>
  <c r="I262" i="3" s="1"/>
  <c r="I261" i="3"/>
  <c r="H261" i="3"/>
  <c r="G261" i="3"/>
  <c r="I260" i="3"/>
  <c r="H260" i="3"/>
  <c r="G260" i="3"/>
  <c r="H259" i="3"/>
  <c r="G259" i="3"/>
  <c r="H258" i="3"/>
  <c r="G258" i="3"/>
  <c r="I258" i="3" s="1"/>
  <c r="I257" i="3"/>
  <c r="H257" i="3"/>
  <c r="G257" i="3"/>
  <c r="H256" i="3"/>
  <c r="I256" i="3" s="1"/>
  <c r="G256" i="3"/>
  <c r="H255" i="3"/>
  <c r="G255" i="3"/>
  <c r="I254" i="3"/>
  <c r="H254" i="3"/>
  <c r="G254" i="3"/>
  <c r="H253" i="3"/>
  <c r="I253" i="3" s="1"/>
  <c r="G253" i="3"/>
  <c r="H252" i="3"/>
  <c r="I252" i="3" s="1"/>
  <c r="G252" i="3"/>
  <c r="H251" i="3"/>
  <c r="I251" i="3" s="1"/>
  <c r="G251" i="3"/>
  <c r="I250" i="3"/>
  <c r="H250" i="3"/>
  <c r="G250" i="3"/>
  <c r="H249" i="3"/>
  <c r="I249" i="3" s="1"/>
  <c r="G249" i="3"/>
  <c r="H248" i="3"/>
  <c r="G248" i="3"/>
  <c r="I248" i="3" s="1"/>
  <c r="H247" i="3"/>
  <c r="I247" i="3" s="1"/>
  <c r="G247" i="3"/>
  <c r="H246" i="3"/>
  <c r="G246" i="3"/>
  <c r="I246" i="3" s="1"/>
  <c r="I245" i="3"/>
  <c r="H245" i="3"/>
  <c r="G245" i="3"/>
  <c r="I244" i="3"/>
  <c r="H244" i="3"/>
  <c r="G244" i="3"/>
  <c r="H243" i="3"/>
  <c r="G243" i="3"/>
  <c r="H242" i="3"/>
  <c r="G242" i="3"/>
  <c r="I242" i="3" s="1"/>
  <c r="I241" i="3"/>
  <c r="H241" i="3"/>
  <c r="G241" i="3"/>
  <c r="H240" i="3"/>
  <c r="I240" i="3" s="1"/>
  <c r="G240" i="3"/>
  <c r="H239" i="3"/>
  <c r="G239" i="3"/>
  <c r="I238" i="3"/>
  <c r="H238" i="3"/>
  <c r="G238" i="3"/>
  <c r="H237" i="3"/>
  <c r="I237" i="3" s="1"/>
  <c r="G237" i="3"/>
  <c r="H236" i="3"/>
  <c r="I236" i="3" s="1"/>
  <c r="G236" i="3"/>
  <c r="H235" i="3"/>
  <c r="I235" i="3" s="1"/>
  <c r="G235" i="3"/>
  <c r="I234" i="3"/>
  <c r="H234" i="3"/>
  <c r="G234" i="3"/>
  <c r="H233" i="3"/>
  <c r="I233" i="3" s="1"/>
  <c r="G233" i="3"/>
  <c r="H232" i="3"/>
  <c r="G232" i="3"/>
  <c r="I232" i="3" s="1"/>
  <c r="H231" i="3"/>
  <c r="I231" i="3" s="1"/>
  <c r="G231" i="3"/>
  <c r="H230" i="3"/>
  <c r="G230" i="3"/>
  <c r="I230" i="3" s="1"/>
  <c r="I229" i="3"/>
  <c r="H229" i="3"/>
  <c r="G229" i="3"/>
  <c r="I228" i="3"/>
  <c r="H228" i="3"/>
  <c r="G228" i="3"/>
  <c r="H227" i="3"/>
  <c r="G227" i="3"/>
  <c r="H226" i="3"/>
  <c r="G226" i="3"/>
  <c r="I226" i="3" s="1"/>
  <c r="I225" i="3"/>
  <c r="H225" i="3"/>
  <c r="G225" i="3"/>
  <c r="H224" i="3"/>
  <c r="I224" i="3" s="1"/>
  <c r="G224" i="3"/>
  <c r="H223" i="3"/>
  <c r="G223" i="3"/>
  <c r="I222" i="3"/>
  <c r="H222" i="3"/>
  <c r="G222" i="3"/>
  <c r="H221" i="3"/>
  <c r="I221" i="3" s="1"/>
  <c r="G221" i="3"/>
  <c r="H220" i="3"/>
  <c r="I220" i="3" s="1"/>
  <c r="G220" i="3"/>
  <c r="H219" i="3"/>
  <c r="I219" i="3" s="1"/>
  <c r="G219" i="3"/>
  <c r="I218" i="3"/>
  <c r="H218" i="3"/>
  <c r="G218" i="3"/>
  <c r="H217" i="3"/>
  <c r="I217" i="3" s="1"/>
  <c r="G217" i="3"/>
  <c r="H216" i="3"/>
  <c r="G216" i="3"/>
  <c r="I216" i="3" s="1"/>
  <c r="H215" i="3"/>
  <c r="I215" i="3" s="1"/>
  <c r="G215" i="3"/>
  <c r="H214" i="3"/>
  <c r="G214" i="3"/>
  <c r="I214" i="3" s="1"/>
  <c r="I213" i="3"/>
  <c r="H213" i="3"/>
  <c r="G213" i="3"/>
  <c r="I212" i="3"/>
  <c r="H212" i="3"/>
  <c r="G212" i="3"/>
  <c r="H211" i="3"/>
  <c r="G211" i="3"/>
  <c r="H210" i="3"/>
  <c r="G210" i="3"/>
  <c r="I210" i="3" s="1"/>
  <c r="I209" i="3"/>
  <c r="H209" i="3"/>
  <c r="G209" i="3"/>
  <c r="H208" i="3"/>
  <c r="I208" i="3" s="1"/>
  <c r="G208" i="3"/>
  <c r="H207" i="3"/>
  <c r="G207" i="3"/>
  <c r="I206" i="3"/>
  <c r="H206" i="3"/>
  <c r="G206" i="3"/>
  <c r="H205" i="3"/>
  <c r="I205" i="3" s="1"/>
  <c r="G205" i="3"/>
  <c r="H204" i="3"/>
  <c r="I204" i="3" s="1"/>
  <c r="G204" i="3"/>
  <c r="H203" i="3"/>
  <c r="I203" i="3" s="1"/>
  <c r="G203" i="3"/>
  <c r="I202" i="3"/>
  <c r="H202" i="3"/>
  <c r="G202" i="3"/>
  <c r="H201" i="3"/>
  <c r="I201" i="3" s="1"/>
  <c r="G201" i="3"/>
  <c r="H200" i="3"/>
  <c r="G200" i="3"/>
  <c r="I200" i="3" s="1"/>
  <c r="H199" i="3"/>
  <c r="I199" i="3" s="1"/>
  <c r="G199" i="3"/>
  <c r="H198" i="3"/>
  <c r="G198" i="3"/>
  <c r="I198" i="3" s="1"/>
  <c r="I197" i="3"/>
  <c r="H197" i="3"/>
  <c r="G197" i="3"/>
  <c r="I196" i="3"/>
  <c r="H196" i="3"/>
  <c r="G196" i="3"/>
  <c r="H195" i="3"/>
  <c r="G195" i="3"/>
  <c r="H194" i="3"/>
  <c r="G194" i="3"/>
  <c r="I194" i="3" s="1"/>
  <c r="I193" i="3"/>
  <c r="H193" i="3"/>
  <c r="G193" i="3"/>
  <c r="H192" i="3"/>
  <c r="I192" i="3" s="1"/>
  <c r="G192" i="3"/>
  <c r="H191" i="3"/>
  <c r="G191" i="3"/>
  <c r="I190" i="3"/>
  <c r="H190" i="3"/>
  <c r="G190" i="3"/>
  <c r="H189" i="3"/>
  <c r="I189" i="3" s="1"/>
  <c r="G189" i="3"/>
  <c r="H188" i="3"/>
  <c r="I188" i="3" s="1"/>
  <c r="G188" i="3"/>
  <c r="H187" i="3"/>
  <c r="I187" i="3" s="1"/>
  <c r="G187" i="3"/>
  <c r="I186" i="3"/>
  <c r="H186" i="3"/>
  <c r="G186" i="3"/>
  <c r="H185" i="3"/>
  <c r="I185" i="3" s="1"/>
  <c r="G185" i="3"/>
  <c r="H184" i="3"/>
  <c r="G184" i="3"/>
  <c r="I184" i="3" s="1"/>
  <c r="H183" i="3"/>
  <c r="I183" i="3" s="1"/>
  <c r="G183" i="3"/>
  <c r="H182" i="3"/>
  <c r="G182" i="3"/>
  <c r="I182" i="3" s="1"/>
  <c r="I181" i="3"/>
  <c r="H181" i="3"/>
  <c r="G181" i="3"/>
  <c r="I180" i="3"/>
  <c r="H180" i="3"/>
  <c r="G180" i="3"/>
  <c r="H179" i="3"/>
  <c r="G179" i="3"/>
  <c r="H178" i="3"/>
  <c r="G178" i="3"/>
  <c r="I178" i="3" s="1"/>
  <c r="I177" i="3"/>
  <c r="H177" i="3"/>
  <c r="G177" i="3"/>
  <c r="H176" i="3"/>
  <c r="I176" i="3" s="1"/>
  <c r="G176" i="3"/>
  <c r="H175" i="3"/>
  <c r="G175" i="3"/>
  <c r="I174" i="3"/>
  <c r="H174" i="3"/>
  <c r="G174" i="3"/>
  <c r="H173" i="3"/>
  <c r="I173" i="3" s="1"/>
  <c r="G173" i="3"/>
  <c r="H172" i="3"/>
  <c r="I172" i="3" s="1"/>
  <c r="G172" i="3"/>
  <c r="H171" i="3"/>
  <c r="I171" i="3" s="1"/>
  <c r="G171" i="3"/>
  <c r="I170" i="3"/>
  <c r="H170" i="3"/>
  <c r="G170" i="3"/>
  <c r="H169" i="3"/>
  <c r="I169" i="3" s="1"/>
  <c r="G169" i="3"/>
  <c r="H168" i="3"/>
  <c r="G168" i="3"/>
  <c r="I168" i="3" s="1"/>
  <c r="H167" i="3"/>
  <c r="I167" i="3" s="1"/>
  <c r="G167" i="3"/>
  <c r="H166" i="3"/>
  <c r="G166" i="3"/>
  <c r="I166" i="3" s="1"/>
  <c r="I165" i="3"/>
  <c r="H165" i="3"/>
  <c r="G165" i="3"/>
  <c r="I164" i="3"/>
  <c r="H164" i="3"/>
  <c r="G164" i="3"/>
  <c r="H163" i="3"/>
  <c r="G163" i="3"/>
  <c r="H162" i="3"/>
  <c r="G162" i="3"/>
  <c r="I162" i="3" s="1"/>
  <c r="I161" i="3"/>
  <c r="H161" i="3"/>
  <c r="G161" i="3"/>
  <c r="H160" i="3"/>
  <c r="I160" i="3" s="1"/>
  <c r="G160" i="3"/>
  <c r="H159" i="3"/>
  <c r="G159" i="3"/>
  <c r="I158" i="3"/>
  <c r="H158" i="3"/>
  <c r="G158" i="3"/>
  <c r="H157" i="3"/>
  <c r="I157" i="3" s="1"/>
  <c r="G157" i="3"/>
  <c r="H156" i="3"/>
  <c r="I156" i="3" s="1"/>
  <c r="G156" i="3"/>
  <c r="H155" i="3"/>
  <c r="I155" i="3" s="1"/>
  <c r="G155" i="3"/>
  <c r="I154" i="3"/>
  <c r="H154" i="3"/>
  <c r="G154" i="3"/>
  <c r="H153" i="3"/>
  <c r="I153" i="3" s="1"/>
  <c r="G153" i="3"/>
  <c r="H152" i="3"/>
  <c r="G152" i="3"/>
  <c r="I152" i="3" s="1"/>
  <c r="H151" i="3"/>
  <c r="I151" i="3" s="1"/>
  <c r="G151" i="3"/>
  <c r="H150" i="3"/>
  <c r="G150" i="3"/>
  <c r="I150" i="3" s="1"/>
  <c r="I149" i="3"/>
  <c r="H149" i="3"/>
  <c r="G149" i="3"/>
  <c r="I148" i="3"/>
  <c r="H148" i="3"/>
  <c r="G148" i="3"/>
  <c r="H147" i="3"/>
  <c r="G147" i="3"/>
  <c r="H146" i="3"/>
  <c r="G146" i="3"/>
  <c r="I146" i="3" s="1"/>
  <c r="I145" i="3"/>
  <c r="H145" i="3"/>
  <c r="G145" i="3"/>
  <c r="H144" i="3"/>
  <c r="I144" i="3" s="1"/>
  <c r="G144" i="3"/>
  <c r="H143" i="3"/>
  <c r="G143" i="3"/>
  <c r="I142" i="3"/>
  <c r="H142" i="3"/>
  <c r="G142" i="3"/>
  <c r="H141" i="3"/>
  <c r="I141" i="3" s="1"/>
  <c r="G141" i="3"/>
  <c r="H140" i="3"/>
  <c r="I140" i="3" s="1"/>
  <c r="G140" i="3"/>
  <c r="H139" i="3"/>
  <c r="I139" i="3" s="1"/>
  <c r="G139" i="3"/>
  <c r="I138" i="3"/>
  <c r="H138" i="3"/>
  <c r="G138" i="3"/>
  <c r="H137" i="3"/>
  <c r="I137" i="3" s="1"/>
  <c r="G137" i="3"/>
  <c r="H136" i="3"/>
  <c r="G136" i="3"/>
  <c r="I136" i="3" s="1"/>
  <c r="H135" i="3"/>
  <c r="I135" i="3" s="1"/>
  <c r="G135" i="3"/>
  <c r="H134" i="3"/>
  <c r="G134" i="3"/>
  <c r="I134" i="3" s="1"/>
  <c r="I133" i="3"/>
  <c r="H133" i="3"/>
  <c r="G133" i="3"/>
  <c r="I132" i="3"/>
  <c r="H132" i="3"/>
  <c r="G132" i="3"/>
  <c r="H131" i="3"/>
  <c r="G131" i="3"/>
  <c r="H130" i="3"/>
  <c r="G130" i="3"/>
  <c r="I130" i="3" s="1"/>
  <c r="I129" i="3"/>
  <c r="H129" i="3"/>
  <c r="G129" i="3"/>
  <c r="H128" i="3"/>
  <c r="I128" i="3" s="1"/>
  <c r="G128" i="3"/>
  <c r="H127" i="3"/>
  <c r="G127" i="3"/>
  <c r="I126" i="3"/>
  <c r="H126" i="3"/>
  <c r="G126" i="3"/>
  <c r="H125" i="3"/>
  <c r="I125" i="3" s="1"/>
  <c r="G125" i="3"/>
  <c r="H124" i="3"/>
  <c r="I124" i="3" s="1"/>
  <c r="G124" i="3"/>
  <c r="H123" i="3"/>
  <c r="I123" i="3" s="1"/>
  <c r="G123" i="3"/>
  <c r="I122" i="3"/>
  <c r="H122" i="3"/>
  <c r="G122" i="3"/>
  <c r="H121" i="3"/>
  <c r="I121" i="3" s="1"/>
  <c r="G121" i="3"/>
  <c r="H120" i="3"/>
  <c r="G120" i="3"/>
  <c r="I120" i="3" s="1"/>
  <c r="H119" i="3"/>
  <c r="I119" i="3" s="1"/>
  <c r="G119" i="3"/>
  <c r="H118" i="3"/>
  <c r="G118" i="3"/>
  <c r="I118" i="3" s="1"/>
  <c r="I117" i="3"/>
  <c r="H117" i="3"/>
  <c r="G117" i="3"/>
  <c r="I116" i="3"/>
  <c r="H116" i="3"/>
  <c r="G116" i="3"/>
  <c r="H115" i="3"/>
  <c r="G115" i="3"/>
  <c r="H114" i="3"/>
  <c r="G114" i="3"/>
  <c r="I114" i="3" s="1"/>
  <c r="I113" i="3"/>
  <c r="H113" i="3"/>
  <c r="G113" i="3"/>
  <c r="H112" i="3"/>
  <c r="I112" i="3" s="1"/>
  <c r="G112" i="3"/>
  <c r="H111" i="3"/>
  <c r="G111" i="3"/>
  <c r="I110" i="3"/>
  <c r="H110" i="3"/>
  <c r="G110" i="3"/>
  <c r="H109" i="3"/>
  <c r="I109" i="3" s="1"/>
  <c r="G109" i="3"/>
  <c r="H108" i="3"/>
  <c r="I108" i="3" s="1"/>
  <c r="G108" i="3"/>
  <c r="H107" i="3"/>
  <c r="I107" i="3" s="1"/>
  <c r="G107" i="3"/>
  <c r="I106" i="3"/>
  <c r="H106" i="3"/>
  <c r="G106" i="3"/>
  <c r="H105" i="3"/>
  <c r="I105" i="3" s="1"/>
  <c r="G105" i="3"/>
  <c r="H104" i="3"/>
  <c r="G104" i="3"/>
  <c r="I104" i="3" s="1"/>
  <c r="H103" i="3"/>
  <c r="I103" i="3" s="1"/>
  <c r="G103" i="3"/>
  <c r="H102" i="3"/>
  <c r="G102" i="3"/>
  <c r="I102" i="3" s="1"/>
  <c r="I101" i="3"/>
  <c r="H101" i="3"/>
  <c r="G101" i="3"/>
  <c r="I100" i="3"/>
  <c r="H100" i="3"/>
  <c r="G100" i="3"/>
  <c r="H99" i="3"/>
  <c r="G99" i="3"/>
  <c r="H98" i="3"/>
  <c r="G98" i="3"/>
  <c r="I98" i="3" s="1"/>
  <c r="I97" i="3"/>
  <c r="H97" i="3"/>
  <c r="G97" i="3"/>
  <c r="H96" i="3"/>
  <c r="I96" i="3" s="1"/>
  <c r="G96" i="3"/>
  <c r="H95" i="3"/>
  <c r="G95" i="3"/>
  <c r="I94" i="3"/>
  <c r="H94" i="3"/>
  <c r="G94" i="3"/>
  <c r="H93" i="3"/>
  <c r="I93" i="3" s="1"/>
  <c r="G93" i="3"/>
  <c r="H92" i="3"/>
  <c r="I92" i="3" s="1"/>
  <c r="G92" i="3"/>
  <c r="H91" i="3"/>
  <c r="I91" i="3" s="1"/>
  <c r="G91" i="3"/>
  <c r="I90" i="3"/>
  <c r="H90" i="3"/>
  <c r="G90" i="3"/>
  <c r="H89" i="3"/>
  <c r="I89" i="3" s="1"/>
  <c r="G89" i="3"/>
  <c r="H88" i="3"/>
  <c r="G88" i="3"/>
  <c r="I88" i="3" s="1"/>
  <c r="H87" i="3"/>
  <c r="I87" i="3" s="1"/>
  <c r="G87" i="3"/>
  <c r="H86" i="3"/>
  <c r="G86" i="3"/>
  <c r="I86" i="3" s="1"/>
  <c r="I85" i="3"/>
  <c r="H85" i="3"/>
  <c r="G85" i="3"/>
  <c r="I84" i="3"/>
  <c r="H84" i="3"/>
  <c r="G84" i="3"/>
  <c r="H83" i="3"/>
  <c r="G83" i="3"/>
  <c r="H82" i="3"/>
  <c r="G82" i="3"/>
  <c r="I82" i="3" s="1"/>
  <c r="I81" i="3"/>
  <c r="H81" i="3"/>
  <c r="G81" i="3"/>
  <c r="H80" i="3"/>
  <c r="I80" i="3" s="1"/>
  <c r="G80" i="3"/>
  <c r="H79" i="3"/>
  <c r="G79" i="3"/>
  <c r="I78" i="3"/>
  <c r="H78" i="3"/>
  <c r="G78" i="3"/>
  <c r="H77" i="3"/>
  <c r="I77" i="3" s="1"/>
  <c r="G77" i="3"/>
  <c r="H76" i="3"/>
  <c r="I76" i="3" s="1"/>
  <c r="G76" i="3"/>
  <c r="H75" i="3"/>
  <c r="I75" i="3" s="1"/>
  <c r="G75" i="3"/>
  <c r="I74" i="3"/>
  <c r="H74" i="3"/>
  <c r="G74" i="3"/>
  <c r="H73" i="3"/>
  <c r="I73" i="3" s="1"/>
  <c r="G73" i="3"/>
  <c r="H72" i="3"/>
  <c r="G72" i="3"/>
  <c r="I72" i="3" s="1"/>
  <c r="H71" i="3"/>
  <c r="I71" i="3" s="1"/>
  <c r="G71" i="3"/>
  <c r="H70" i="3"/>
  <c r="G70" i="3"/>
  <c r="I70" i="3" s="1"/>
  <c r="I69" i="3"/>
  <c r="H69" i="3"/>
  <c r="G69" i="3"/>
  <c r="I68" i="3"/>
  <c r="H68" i="3"/>
  <c r="G68" i="3"/>
  <c r="H67" i="3"/>
  <c r="G67" i="3"/>
  <c r="H66" i="3"/>
  <c r="G66" i="3"/>
  <c r="I66" i="3" s="1"/>
  <c r="I65" i="3"/>
  <c r="H65" i="3"/>
  <c r="G65" i="3"/>
  <c r="H64" i="3"/>
  <c r="I64" i="3" s="1"/>
  <c r="G64" i="3"/>
  <c r="H63" i="3"/>
  <c r="G63" i="3"/>
  <c r="I62" i="3"/>
  <c r="H62" i="3"/>
  <c r="G62" i="3"/>
  <c r="H61" i="3"/>
  <c r="I61" i="3" s="1"/>
  <c r="G61" i="3"/>
  <c r="H60" i="3"/>
  <c r="I60" i="3" s="1"/>
  <c r="G60" i="3"/>
  <c r="H59" i="3"/>
  <c r="I59" i="3" s="1"/>
  <c r="G59" i="3"/>
  <c r="I58" i="3"/>
  <c r="H58" i="3"/>
  <c r="G58" i="3"/>
  <c r="H57" i="3"/>
  <c r="I57" i="3" s="1"/>
  <c r="G57" i="3"/>
  <c r="H56" i="3"/>
  <c r="G56" i="3"/>
  <c r="I56" i="3" s="1"/>
  <c r="H55" i="3"/>
  <c r="I55" i="3" s="1"/>
  <c r="G55" i="3"/>
  <c r="H54" i="3"/>
  <c r="G54" i="3"/>
  <c r="I54" i="3" s="1"/>
  <c r="I53" i="3"/>
  <c r="H53" i="3"/>
  <c r="G53" i="3"/>
  <c r="I52" i="3"/>
  <c r="H52" i="3"/>
  <c r="G52" i="3"/>
  <c r="H51" i="3"/>
  <c r="G51" i="3"/>
  <c r="H50" i="3"/>
  <c r="G50" i="3"/>
  <c r="I50" i="3" s="1"/>
  <c r="I49" i="3"/>
  <c r="H49" i="3"/>
  <c r="G49" i="3"/>
  <c r="H48" i="3"/>
  <c r="I48" i="3" s="1"/>
  <c r="G48" i="3"/>
  <c r="H47" i="3"/>
  <c r="G47" i="3"/>
  <c r="H46" i="3"/>
  <c r="G46" i="3"/>
  <c r="H45" i="3"/>
  <c r="G45" i="3"/>
  <c r="H44" i="3"/>
  <c r="G44" i="3"/>
  <c r="H43" i="3"/>
  <c r="G43" i="3"/>
  <c r="I43" i="3" s="1"/>
  <c r="H42" i="3"/>
  <c r="G42" i="3"/>
  <c r="H41" i="3"/>
  <c r="G41" i="3"/>
  <c r="H40" i="3"/>
  <c r="G40" i="3"/>
  <c r="H39" i="3"/>
  <c r="G39" i="3"/>
  <c r="I39" i="3" s="1"/>
  <c r="H38" i="3"/>
  <c r="G38" i="3"/>
  <c r="H37" i="3"/>
  <c r="G37" i="3"/>
  <c r="H36" i="3"/>
  <c r="G36" i="3"/>
  <c r="H35" i="3"/>
  <c r="G35" i="3"/>
  <c r="I35" i="3" s="1"/>
  <c r="H34" i="3"/>
  <c r="G34" i="3"/>
  <c r="H33" i="3"/>
  <c r="G33" i="3"/>
  <c r="H32" i="3"/>
  <c r="G32" i="3"/>
  <c r="H31" i="3"/>
  <c r="G31" i="3"/>
  <c r="H30" i="3"/>
  <c r="G30" i="3"/>
  <c r="H29" i="3"/>
  <c r="G29" i="3"/>
  <c r="H28" i="3"/>
  <c r="G28" i="3"/>
  <c r="H27" i="3"/>
  <c r="G27" i="3"/>
  <c r="H26" i="3"/>
  <c r="G26" i="3"/>
  <c r="H25" i="3"/>
  <c r="G25" i="3"/>
  <c r="H24" i="3"/>
  <c r="G24" i="3"/>
  <c r="H23" i="3"/>
  <c r="G23" i="3"/>
  <c r="I23" i="3" s="1"/>
  <c r="H22" i="3"/>
  <c r="G22" i="3"/>
  <c r="H21" i="3"/>
  <c r="G21" i="3"/>
  <c r="H20" i="3"/>
  <c r="G20" i="3"/>
  <c r="H19" i="3"/>
  <c r="G19" i="3"/>
  <c r="I19" i="3" s="1"/>
  <c r="H18" i="3"/>
  <c r="G18" i="3"/>
  <c r="H17" i="3"/>
  <c r="G17" i="3"/>
  <c r="H16" i="3"/>
  <c r="G16" i="3"/>
  <c r="H15" i="3"/>
  <c r="G15" i="3"/>
  <c r="I15" i="3" s="1"/>
  <c r="H14" i="3"/>
  <c r="G14" i="3"/>
  <c r="H13" i="3"/>
  <c r="G13" i="3"/>
  <c r="H12" i="3"/>
  <c r="G12" i="3"/>
  <c r="H11" i="3"/>
  <c r="G11" i="3"/>
  <c r="I11" i="3" s="1"/>
  <c r="H10" i="3"/>
  <c r="G10" i="3"/>
  <c r="H9" i="3"/>
  <c r="G9" i="3"/>
  <c r="H8" i="3"/>
  <c r="G8" i="3"/>
  <c r="H7" i="3"/>
  <c r="G7" i="3"/>
  <c r="I7" i="3" s="1"/>
  <c r="H6" i="3"/>
  <c r="I6" i="3" s="1"/>
  <c r="G6" i="3"/>
  <c r="H5" i="3"/>
  <c r="G5" i="3"/>
  <c r="H4" i="3"/>
  <c r="G4" i="3"/>
  <c r="H3" i="3"/>
  <c r="G3" i="3"/>
  <c r="I3" i="3" s="1"/>
  <c r="H2" i="3"/>
  <c r="G2" i="3"/>
  <c r="J633" i="5"/>
  <c r="I633" i="5"/>
  <c r="J632" i="5"/>
  <c r="I632" i="5"/>
  <c r="J631" i="5"/>
  <c r="I631" i="5"/>
  <c r="J630" i="5"/>
  <c r="I630" i="5"/>
  <c r="J629" i="5"/>
  <c r="I629" i="5"/>
  <c r="J628" i="5"/>
  <c r="I628" i="5"/>
  <c r="J627" i="5"/>
  <c r="I627" i="5"/>
  <c r="J626" i="5"/>
  <c r="I626" i="5"/>
  <c r="J625" i="5"/>
  <c r="I625" i="5"/>
  <c r="J624" i="5"/>
  <c r="I624" i="5"/>
  <c r="J623" i="5"/>
  <c r="I623" i="5"/>
  <c r="J622" i="5"/>
  <c r="I622" i="5"/>
  <c r="J621" i="5"/>
  <c r="I621" i="5"/>
  <c r="J620" i="5"/>
  <c r="I620" i="5"/>
  <c r="J619" i="5"/>
  <c r="I619" i="5"/>
  <c r="J618" i="5"/>
  <c r="I618" i="5"/>
  <c r="J617" i="5"/>
  <c r="I617" i="5"/>
  <c r="J616" i="5"/>
  <c r="I616" i="5"/>
  <c r="J615" i="5"/>
  <c r="I615" i="5"/>
  <c r="J614" i="5"/>
  <c r="I614" i="5"/>
  <c r="J613" i="5"/>
  <c r="I613" i="5"/>
  <c r="J612" i="5"/>
  <c r="I612" i="5"/>
  <c r="J611" i="5"/>
  <c r="I611" i="5"/>
  <c r="J610" i="5"/>
  <c r="I610" i="5"/>
  <c r="J609" i="5"/>
  <c r="I609" i="5"/>
  <c r="J608" i="5"/>
  <c r="I608" i="5"/>
  <c r="J607" i="5"/>
  <c r="I607" i="5"/>
  <c r="J606" i="5"/>
  <c r="I606" i="5"/>
  <c r="J605" i="5"/>
  <c r="I605" i="5"/>
  <c r="J604" i="5"/>
  <c r="I604" i="5"/>
  <c r="J603" i="5"/>
  <c r="I603" i="5"/>
  <c r="J602" i="5"/>
  <c r="I602" i="5"/>
  <c r="J601" i="5"/>
  <c r="I601" i="5"/>
  <c r="J600" i="5"/>
  <c r="I600" i="5"/>
  <c r="J599" i="5"/>
  <c r="I599" i="5"/>
  <c r="J598" i="5"/>
  <c r="I598" i="5"/>
  <c r="J597" i="5"/>
  <c r="I597" i="5"/>
  <c r="J596" i="5"/>
  <c r="I596" i="5"/>
  <c r="J595" i="5"/>
  <c r="I595" i="5"/>
  <c r="J594" i="5"/>
  <c r="I594" i="5"/>
  <c r="J593" i="5"/>
  <c r="I593" i="5"/>
  <c r="J592" i="5"/>
  <c r="I592" i="5"/>
  <c r="J591" i="5"/>
  <c r="I591" i="5"/>
  <c r="J590" i="5"/>
  <c r="I590" i="5"/>
  <c r="J589" i="5"/>
  <c r="I589" i="5"/>
  <c r="J588" i="5"/>
  <c r="I588" i="5"/>
  <c r="J587" i="5"/>
  <c r="I587" i="5"/>
  <c r="J586" i="5"/>
  <c r="I586" i="5"/>
  <c r="J585" i="5"/>
  <c r="I585" i="5"/>
  <c r="J584" i="5"/>
  <c r="I584" i="5"/>
  <c r="J583" i="5"/>
  <c r="I583" i="5"/>
  <c r="J582" i="5"/>
  <c r="I582" i="5"/>
  <c r="J581" i="5"/>
  <c r="I581" i="5"/>
  <c r="J580" i="5"/>
  <c r="I580" i="5"/>
  <c r="J579" i="5"/>
  <c r="I579" i="5"/>
  <c r="J578" i="5"/>
  <c r="I578" i="5"/>
  <c r="J577" i="5"/>
  <c r="I577" i="5"/>
  <c r="J576" i="5"/>
  <c r="I576" i="5"/>
  <c r="J575" i="5"/>
  <c r="I575" i="5"/>
  <c r="J574" i="5"/>
  <c r="I574" i="5"/>
  <c r="J573" i="5"/>
  <c r="I573" i="5"/>
  <c r="J572" i="5"/>
  <c r="I572" i="5"/>
  <c r="J571" i="5"/>
  <c r="I571" i="5"/>
  <c r="J570" i="5"/>
  <c r="I570" i="5"/>
  <c r="J569" i="5"/>
  <c r="I569" i="5"/>
  <c r="J568" i="5"/>
  <c r="I568" i="5"/>
  <c r="J567" i="5"/>
  <c r="I567" i="5"/>
  <c r="J566" i="5"/>
  <c r="I566" i="5"/>
  <c r="J565" i="5"/>
  <c r="I565" i="5"/>
  <c r="J564" i="5"/>
  <c r="I564" i="5"/>
  <c r="J563" i="5"/>
  <c r="I563" i="5"/>
  <c r="J562" i="5"/>
  <c r="I562" i="5"/>
  <c r="J561" i="5"/>
  <c r="I561" i="5"/>
  <c r="J560" i="5"/>
  <c r="I560" i="5"/>
  <c r="J559" i="5"/>
  <c r="I559" i="5"/>
  <c r="J558" i="5"/>
  <c r="I558" i="5"/>
  <c r="J557" i="5"/>
  <c r="I557" i="5"/>
  <c r="J556" i="5"/>
  <c r="I556" i="5"/>
  <c r="J555" i="5"/>
  <c r="I555" i="5"/>
  <c r="J554" i="5"/>
  <c r="I554" i="5"/>
  <c r="J553" i="5"/>
  <c r="I553" i="5"/>
  <c r="J552" i="5"/>
  <c r="I552" i="5"/>
  <c r="J551" i="5"/>
  <c r="I551" i="5"/>
  <c r="J550" i="5"/>
  <c r="I550" i="5"/>
  <c r="J549" i="5"/>
  <c r="I549" i="5"/>
  <c r="J548" i="5"/>
  <c r="I548" i="5"/>
  <c r="J547" i="5"/>
  <c r="I547" i="5"/>
  <c r="J546" i="5"/>
  <c r="I546" i="5"/>
  <c r="J545" i="5"/>
  <c r="I545" i="5"/>
  <c r="J544" i="5"/>
  <c r="I544" i="5"/>
  <c r="J543" i="5"/>
  <c r="I543" i="5"/>
  <c r="J542" i="5"/>
  <c r="I542" i="5"/>
  <c r="J541" i="5"/>
  <c r="I541" i="5"/>
  <c r="J540" i="5"/>
  <c r="I540" i="5"/>
  <c r="J539" i="5"/>
  <c r="I539" i="5"/>
  <c r="J538" i="5"/>
  <c r="I538" i="5"/>
  <c r="J537" i="5"/>
  <c r="I537" i="5"/>
  <c r="J536" i="5"/>
  <c r="I536" i="5"/>
  <c r="J535" i="5"/>
  <c r="I535" i="5"/>
  <c r="J534" i="5"/>
  <c r="I534" i="5"/>
  <c r="J533" i="5"/>
  <c r="I533" i="5"/>
  <c r="J532" i="5"/>
  <c r="I532" i="5"/>
  <c r="J531" i="5"/>
  <c r="I531" i="5"/>
  <c r="J530" i="5"/>
  <c r="I530" i="5"/>
  <c r="J529" i="5"/>
  <c r="I529" i="5"/>
  <c r="J528" i="5"/>
  <c r="I528" i="5"/>
  <c r="J527" i="5"/>
  <c r="I527" i="5"/>
  <c r="J526" i="5"/>
  <c r="I526" i="5"/>
  <c r="J525" i="5"/>
  <c r="I525" i="5"/>
  <c r="J524" i="5"/>
  <c r="I524" i="5"/>
  <c r="J523" i="5"/>
  <c r="I523" i="5"/>
  <c r="J522" i="5"/>
  <c r="I522" i="5"/>
  <c r="J521" i="5"/>
  <c r="I521" i="5"/>
  <c r="J520" i="5"/>
  <c r="I520" i="5"/>
  <c r="J519" i="5"/>
  <c r="I519" i="5"/>
  <c r="J518" i="5"/>
  <c r="I518" i="5"/>
  <c r="J517" i="5"/>
  <c r="I517" i="5"/>
  <c r="J516" i="5"/>
  <c r="I516" i="5"/>
  <c r="J515" i="5"/>
  <c r="I515" i="5"/>
  <c r="J514" i="5"/>
  <c r="I514" i="5"/>
  <c r="J513" i="5"/>
  <c r="I513" i="5"/>
  <c r="J512" i="5"/>
  <c r="I512" i="5"/>
  <c r="J511" i="5"/>
  <c r="I511" i="5"/>
  <c r="J510" i="5"/>
  <c r="I510" i="5"/>
  <c r="J509" i="5"/>
  <c r="I509" i="5"/>
  <c r="J508" i="5"/>
  <c r="I508" i="5"/>
  <c r="J507" i="5"/>
  <c r="I507" i="5"/>
  <c r="J506" i="5"/>
  <c r="I506" i="5"/>
  <c r="J505" i="5"/>
  <c r="I505" i="5"/>
  <c r="J504" i="5"/>
  <c r="I504" i="5"/>
  <c r="J503" i="5"/>
  <c r="I503" i="5"/>
  <c r="J502" i="5"/>
  <c r="I502" i="5"/>
  <c r="J501" i="5"/>
  <c r="I501" i="5"/>
  <c r="J500" i="5"/>
  <c r="I500" i="5"/>
  <c r="J499" i="5"/>
  <c r="I499" i="5"/>
  <c r="J498" i="5"/>
  <c r="I498" i="5"/>
  <c r="J497" i="5"/>
  <c r="I497" i="5"/>
  <c r="J496" i="5"/>
  <c r="I496" i="5"/>
  <c r="J495" i="5"/>
  <c r="I495" i="5"/>
  <c r="J494" i="5"/>
  <c r="I494" i="5"/>
  <c r="J493" i="5"/>
  <c r="I493" i="5"/>
  <c r="J492" i="5"/>
  <c r="I492" i="5"/>
  <c r="J491" i="5"/>
  <c r="I491" i="5"/>
  <c r="J490" i="5"/>
  <c r="I490" i="5"/>
  <c r="J489" i="5"/>
  <c r="I489" i="5"/>
  <c r="J488" i="5"/>
  <c r="I488" i="5"/>
  <c r="J487" i="5"/>
  <c r="I487" i="5"/>
  <c r="J486" i="5"/>
  <c r="I486" i="5"/>
  <c r="J485" i="5"/>
  <c r="I485" i="5"/>
  <c r="J484" i="5"/>
  <c r="I484" i="5"/>
  <c r="J483" i="5"/>
  <c r="I483" i="5"/>
  <c r="J482" i="5"/>
  <c r="I482" i="5"/>
  <c r="J481" i="5"/>
  <c r="I481" i="5"/>
  <c r="J480" i="5"/>
  <c r="I480" i="5"/>
  <c r="J479" i="5"/>
  <c r="I479" i="5"/>
  <c r="J478" i="5"/>
  <c r="I478" i="5"/>
  <c r="J477" i="5"/>
  <c r="I477" i="5"/>
  <c r="J476" i="5"/>
  <c r="I476" i="5"/>
  <c r="J475" i="5"/>
  <c r="I475" i="5"/>
  <c r="J474" i="5"/>
  <c r="I474" i="5"/>
  <c r="J473" i="5"/>
  <c r="I473" i="5"/>
  <c r="J472" i="5"/>
  <c r="I472" i="5"/>
  <c r="J471" i="5"/>
  <c r="I471" i="5"/>
  <c r="J470" i="5"/>
  <c r="I470" i="5"/>
  <c r="J469" i="5"/>
  <c r="I469" i="5"/>
  <c r="J468" i="5"/>
  <c r="I468" i="5"/>
  <c r="J467" i="5"/>
  <c r="I467" i="5"/>
  <c r="J466" i="5"/>
  <c r="I466" i="5"/>
  <c r="J465" i="5"/>
  <c r="I465" i="5"/>
  <c r="J464" i="5"/>
  <c r="I464" i="5"/>
  <c r="J463" i="5"/>
  <c r="I463" i="5"/>
  <c r="J462" i="5"/>
  <c r="I462" i="5"/>
  <c r="J461" i="5"/>
  <c r="I461" i="5"/>
  <c r="J460" i="5"/>
  <c r="I460" i="5"/>
  <c r="J459" i="5"/>
  <c r="I459" i="5"/>
  <c r="J458" i="5"/>
  <c r="I458" i="5"/>
  <c r="J457" i="5"/>
  <c r="I457" i="5"/>
  <c r="J456" i="5"/>
  <c r="I456" i="5"/>
  <c r="J455" i="5"/>
  <c r="I455" i="5"/>
  <c r="J454" i="5"/>
  <c r="I454" i="5"/>
  <c r="J453" i="5"/>
  <c r="I453" i="5"/>
  <c r="J452" i="5"/>
  <c r="I452" i="5"/>
  <c r="J451" i="5"/>
  <c r="I451" i="5"/>
  <c r="J450" i="5"/>
  <c r="I450" i="5"/>
  <c r="J449" i="5"/>
  <c r="I449" i="5"/>
  <c r="J448" i="5"/>
  <c r="I448" i="5"/>
  <c r="J447" i="5"/>
  <c r="I447" i="5"/>
  <c r="J446" i="5"/>
  <c r="I446" i="5"/>
  <c r="J445" i="5"/>
  <c r="I445" i="5"/>
  <c r="J444" i="5"/>
  <c r="I444" i="5"/>
  <c r="J443" i="5"/>
  <c r="I443" i="5"/>
  <c r="J442" i="5"/>
  <c r="I442" i="5"/>
  <c r="J441" i="5"/>
  <c r="I441" i="5"/>
  <c r="J440" i="5"/>
  <c r="I440" i="5"/>
  <c r="J439" i="5"/>
  <c r="I439" i="5"/>
  <c r="J438" i="5"/>
  <c r="I438" i="5"/>
  <c r="J437" i="5"/>
  <c r="I437" i="5"/>
  <c r="J436" i="5"/>
  <c r="I436" i="5"/>
  <c r="J435" i="5"/>
  <c r="I435" i="5"/>
  <c r="J434" i="5"/>
  <c r="I434" i="5"/>
  <c r="J433" i="5"/>
  <c r="I433" i="5"/>
  <c r="J432" i="5"/>
  <c r="I432" i="5"/>
  <c r="J431" i="5"/>
  <c r="I431" i="5"/>
  <c r="J430" i="5"/>
  <c r="I430" i="5"/>
  <c r="J429" i="5"/>
  <c r="I429" i="5"/>
  <c r="J428" i="5"/>
  <c r="I428" i="5"/>
  <c r="J427" i="5"/>
  <c r="I427" i="5"/>
  <c r="J426" i="5"/>
  <c r="I426" i="5"/>
  <c r="J425" i="5"/>
  <c r="I425" i="5"/>
  <c r="J424" i="5"/>
  <c r="I424" i="5"/>
  <c r="J423" i="5"/>
  <c r="I423" i="5"/>
  <c r="J422" i="5"/>
  <c r="I422" i="5"/>
  <c r="J421" i="5"/>
  <c r="I421" i="5"/>
  <c r="J420" i="5"/>
  <c r="I420" i="5"/>
  <c r="J419" i="5"/>
  <c r="I419" i="5"/>
  <c r="J418" i="5"/>
  <c r="I418" i="5"/>
  <c r="J417" i="5"/>
  <c r="I417" i="5"/>
  <c r="J416" i="5"/>
  <c r="I416" i="5"/>
  <c r="J415" i="5"/>
  <c r="I415" i="5"/>
  <c r="J414" i="5"/>
  <c r="I414" i="5"/>
  <c r="J413" i="5"/>
  <c r="I413" i="5"/>
  <c r="J412" i="5"/>
  <c r="I412" i="5"/>
  <c r="J411" i="5"/>
  <c r="I411" i="5"/>
  <c r="J410" i="5"/>
  <c r="I410" i="5"/>
  <c r="J409" i="5"/>
  <c r="I409" i="5"/>
  <c r="J408" i="5"/>
  <c r="I408" i="5"/>
  <c r="J407" i="5"/>
  <c r="I407" i="5"/>
  <c r="J406" i="5"/>
  <c r="I406" i="5"/>
  <c r="J405" i="5"/>
  <c r="I405" i="5"/>
  <c r="J404" i="5"/>
  <c r="I404" i="5"/>
  <c r="J403" i="5"/>
  <c r="I403" i="5"/>
  <c r="J402" i="5"/>
  <c r="I402" i="5"/>
  <c r="J401" i="5"/>
  <c r="I401" i="5"/>
  <c r="J400" i="5"/>
  <c r="I400" i="5"/>
  <c r="J399" i="5"/>
  <c r="I399" i="5"/>
  <c r="J398" i="5"/>
  <c r="I398" i="5"/>
  <c r="J397" i="5"/>
  <c r="I397" i="5"/>
  <c r="J396" i="5"/>
  <c r="I396" i="5"/>
  <c r="J395" i="5"/>
  <c r="I395" i="5"/>
  <c r="J394" i="5"/>
  <c r="I394" i="5"/>
  <c r="J393" i="5"/>
  <c r="I393" i="5"/>
  <c r="J392" i="5"/>
  <c r="I392" i="5"/>
  <c r="J391" i="5"/>
  <c r="I391" i="5"/>
  <c r="J390" i="5"/>
  <c r="I390" i="5"/>
  <c r="J389" i="5"/>
  <c r="I389" i="5"/>
  <c r="J388" i="5"/>
  <c r="I388" i="5"/>
  <c r="J387" i="5"/>
  <c r="I387" i="5"/>
  <c r="J386" i="5"/>
  <c r="I386" i="5"/>
  <c r="J385" i="5"/>
  <c r="I385" i="5"/>
  <c r="J384" i="5"/>
  <c r="I384" i="5"/>
  <c r="J383" i="5"/>
  <c r="I383" i="5"/>
  <c r="J382" i="5"/>
  <c r="I382" i="5"/>
  <c r="J381" i="5"/>
  <c r="I381" i="5"/>
  <c r="J380" i="5"/>
  <c r="I380" i="5"/>
  <c r="J379" i="5"/>
  <c r="I379" i="5"/>
  <c r="J378" i="5"/>
  <c r="I378" i="5"/>
  <c r="J377" i="5"/>
  <c r="I377" i="5"/>
  <c r="J376" i="5"/>
  <c r="I376" i="5"/>
  <c r="J375" i="5"/>
  <c r="I375" i="5"/>
  <c r="J374" i="5"/>
  <c r="I374" i="5"/>
  <c r="J373" i="5"/>
  <c r="I373" i="5"/>
  <c r="J372" i="5"/>
  <c r="I372" i="5"/>
  <c r="J371" i="5"/>
  <c r="I371" i="5"/>
  <c r="J370" i="5"/>
  <c r="I370" i="5"/>
  <c r="J369" i="5"/>
  <c r="I369" i="5"/>
  <c r="J368" i="5"/>
  <c r="I368" i="5"/>
  <c r="J367" i="5"/>
  <c r="I367" i="5"/>
  <c r="J366" i="5"/>
  <c r="I366" i="5"/>
  <c r="J365" i="5"/>
  <c r="I365" i="5"/>
  <c r="J364" i="5"/>
  <c r="I364" i="5"/>
  <c r="J363" i="5"/>
  <c r="I363" i="5"/>
  <c r="J362" i="5"/>
  <c r="I362" i="5"/>
  <c r="J361" i="5"/>
  <c r="I361" i="5"/>
  <c r="J360" i="5"/>
  <c r="I360" i="5"/>
  <c r="J359" i="5"/>
  <c r="I359" i="5"/>
  <c r="J358" i="5"/>
  <c r="I358" i="5"/>
  <c r="J357" i="5"/>
  <c r="I357" i="5"/>
  <c r="J356" i="5"/>
  <c r="I356" i="5"/>
  <c r="J355" i="5"/>
  <c r="I355" i="5"/>
  <c r="J354" i="5"/>
  <c r="I354" i="5"/>
  <c r="J353" i="5"/>
  <c r="I353" i="5"/>
  <c r="J352" i="5"/>
  <c r="I352" i="5"/>
  <c r="J351" i="5"/>
  <c r="I351" i="5"/>
  <c r="J350" i="5"/>
  <c r="I350" i="5"/>
  <c r="J349" i="5"/>
  <c r="I349" i="5"/>
  <c r="J348" i="5"/>
  <c r="I348" i="5"/>
  <c r="J347" i="5"/>
  <c r="I347" i="5"/>
  <c r="J346" i="5"/>
  <c r="I346" i="5"/>
  <c r="J345" i="5"/>
  <c r="I345" i="5"/>
  <c r="J344" i="5"/>
  <c r="I344" i="5"/>
  <c r="J343" i="5"/>
  <c r="I343" i="5"/>
  <c r="J342" i="5"/>
  <c r="I342" i="5"/>
  <c r="J341" i="5"/>
  <c r="I341" i="5"/>
  <c r="J340" i="5"/>
  <c r="I340" i="5"/>
  <c r="J339" i="5"/>
  <c r="I339" i="5"/>
  <c r="J338" i="5"/>
  <c r="I338" i="5"/>
  <c r="J337" i="5"/>
  <c r="I337" i="5"/>
  <c r="J336" i="5"/>
  <c r="I336" i="5"/>
  <c r="J335" i="5"/>
  <c r="I335" i="5"/>
  <c r="J334" i="5"/>
  <c r="I334" i="5"/>
  <c r="J333" i="5"/>
  <c r="I333" i="5"/>
  <c r="J332" i="5"/>
  <c r="I332" i="5"/>
  <c r="J331" i="5"/>
  <c r="I331" i="5"/>
  <c r="J330" i="5"/>
  <c r="I330" i="5"/>
  <c r="J329" i="5"/>
  <c r="I329" i="5"/>
  <c r="J328" i="5"/>
  <c r="I328" i="5"/>
  <c r="J327" i="5"/>
  <c r="I327" i="5"/>
  <c r="J326" i="5"/>
  <c r="I326" i="5"/>
  <c r="J325" i="5"/>
  <c r="I325" i="5"/>
  <c r="J324" i="5"/>
  <c r="I324" i="5"/>
  <c r="J323" i="5"/>
  <c r="I323" i="5"/>
  <c r="J322" i="5"/>
  <c r="I322" i="5"/>
  <c r="J321" i="5"/>
  <c r="I321" i="5"/>
  <c r="J320" i="5"/>
  <c r="I320" i="5"/>
  <c r="J319" i="5"/>
  <c r="I319" i="5"/>
  <c r="J318" i="5"/>
  <c r="I318" i="5"/>
  <c r="J317" i="5"/>
  <c r="I317" i="5"/>
  <c r="J316" i="5"/>
  <c r="I316" i="5"/>
  <c r="J315" i="5"/>
  <c r="I315" i="5"/>
  <c r="J314" i="5"/>
  <c r="I314" i="5"/>
  <c r="J313" i="5"/>
  <c r="I313" i="5"/>
  <c r="J312" i="5"/>
  <c r="I312" i="5"/>
  <c r="J311" i="5"/>
  <c r="I311" i="5"/>
  <c r="J310" i="5"/>
  <c r="I310" i="5"/>
  <c r="J309" i="5"/>
  <c r="I309" i="5"/>
  <c r="J308" i="5"/>
  <c r="I308" i="5"/>
  <c r="J307" i="5"/>
  <c r="I307" i="5"/>
  <c r="J306" i="5"/>
  <c r="I306" i="5"/>
  <c r="J305" i="5"/>
  <c r="I305" i="5"/>
  <c r="J304" i="5"/>
  <c r="I304" i="5"/>
  <c r="J303" i="5"/>
  <c r="I303" i="5"/>
  <c r="J302" i="5"/>
  <c r="I302" i="5"/>
  <c r="J301" i="5"/>
  <c r="I301" i="5"/>
  <c r="J300" i="5"/>
  <c r="I300" i="5"/>
  <c r="J299" i="5"/>
  <c r="I299" i="5"/>
  <c r="J298" i="5"/>
  <c r="I298" i="5"/>
  <c r="J297" i="5"/>
  <c r="I297" i="5"/>
  <c r="J296" i="5"/>
  <c r="I296" i="5"/>
  <c r="J295" i="5"/>
  <c r="I295" i="5"/>
  <c r="J294" i="5"/>
  <c r="I294" i="5"/>
  <c r="J293" i="5"/>
  <c r="I293" i="5"/>
  <c r="J292" i="5"/>
  <c r="I292" i="5"/>
  <c r="J291" i="5"/>
  <c r="I291" i="5"/>
  <c r="J290" i="5"/>
  <c r="I290" i="5"/>
  <c r="J289" i="5"/>
  <c r="I289" i="5"/>
  <c r="J288" i="5"/>
  <c r="I288" i="5"/>
  <c r="J287" i="5"/>
  <c r="I287" i="5"/>
  <c r="J286" i="5"/>
  <c r="I286" i="5"/>
  <c r="J285" i="5"/>
  <c r="I285" i="5"/>
  <c r="J284" i="5"/>
  <c r="I284" i="5"/>
  <c r="J283" i="5"/>
  <c r="I283" i="5"/>
  <c r="J282" i="5"/>
  <c r="I282" i="5"/>
  <c r="J281" i="5"/>
  <c r="I281" i="5"/>
  <c r="J280" i="5"/>
  <c r="I280" i="5"/>
  <c r="J279" i="5"/>
  <c r="I279" i="5"/>
  <c r="J278" i="5"/>
  <c r="I278" i="5"/>
  <c r="J277" i="5"/>
  <c r="I277" i="5"/>
  <c r="J276" i="5"/>
  <c r="I276" i="5"/>
  <c r="J275" i="5"/>
  <c r="I275" i="5"/>
  <c r="J274" i="5"/>
  <c r="I274" i="5"/>
  <c r="J273" i="5"/>
  <c r="I273" i="5"/>
  <c r="J272" i="5"/>
  <c r="I272" i="5"/>
  <c r="J271" i="5"/>
  <c r="I271" i="5"/>
  <c r="J270" i="5"/>
  <c r="I270" i="5"/>
  <c r="J269" i="5"/>
  <c r="I269" i="5"/>
  <c r="J268" i="5"/>
  <c r="I268" i="5"/>
  <c r="J267" i="5"/>
  <c r="I267" i="5"/>
  <c r="J266" i="5"/>
  <c r="I266" i="5"/>
  <c r="J265" i="5"/>
  <c r="I265" i="5"/>
  <c r="J264" i="5"/>
  <c r="I264" i="5"/>
  <c r="J263" i="5"/>
  <c r="I263" i="5"/>
  <c r="J262" i="5"/>
  <c r="I262" i="5"/>
  <c r="J261" i="5"/>
  <c r="I261" i="5"/>
  <c r="J260" i="5"/>
  <c r="I260" i="5"/>
  <c r="J259" i="5"/>
  <c r="I259" i="5"/>
  <c r="J258" i="5"/>
  <c r="I258" i="5"/>
  <c r="J257" i="5"/>
  <c r="I257" i="5"/>
  <c r="J256" i="5"/>
  <c r="I256" i="5"/>
  <c r="J255" i="5"/>
  <c r="I255" i="5"/>
  <c r="J254" i="5"/>
  <c r="I254" i="5"/>
  <c r="J253" i="5"/>
  <c r="I253" i="5"/>
  <c r="J252" i="5"/>
  <c r="I252" i="5"/>
  <c r="J251" i="5"/>
  <c r="I251" i="5"/>
  <c r="J250" i="5"/>
  <c r="I250" i="5"/>
  <c r="J249" i="5"/>
  <c r="I249" i="5"/>
  <c r="J248" i="5"/>
  <c r="I248" i="5"/>
  <c r="J247" i="5"/>
  <c r="I247" i="5"/>
  <c r="J246" i="5"/>
  <c r="I246" i="5"/>
  <c r="J245" i="5"/>
  <c r="I245" i="5"/>
  <c r="J244" i="5"/>
  <c r="I244" i="5"/>
  <c r="J243" i="5"/>
  <c r="I243" i="5"/>
  <c r="J242" i="5"/>
  <c r="I242" i="5"/>
  <c r="J241" i="5"/>
  <c r="I241" i="5"/>
  <c r="J240" i="5"/>
  <c r="I240" i="5"/>
  <c r="J239" i="5"/>
  <c r="I239" i="5"/>
  <c r="J238" i="5"/>
  <c r="I238" i="5"/>
  <c r="J237" i="5"/>
  <c r="I237" i="5"/>
  <c r="J236" i="5"/>
  <c r="I236" i="5"/>
  <c r="J235" i="5"/>
  <c r="I235" i="5"/>
  <c r="J234" i="5"/>
  <c r="I234" i="5"/>
  <c r="J233" i="5"/>
  <c r="I233" i="5"/>
  <c r="J232" i="5"/>
  <c r="I232" i="5"/>
  <c r="J231" i="5"/>
  <c r="I231" i="5"/>
  <c r="J230" i="5"/>
  <c r="I230" i="5"/>
  <c r="J229" i="5"/>
  <c r="I229" i="5"/>
  <c r="J228" i="5"/>
  <c r="I228" i="5"/>
  <c r="J227" i="5"/>
  <c r="I227" i="5"/>
  <c r="J226" i="5"/>
  <c r="I226" i="5"/>
  <c r="J225" i="5"/>
  <c r="I225" i="5"/>
  <c r="J224" i="5"/>
  <c r="I224" i="5"/>
  <c r="J223" i="5"/>
  <c r="I223" i="5"/>
  <c r="J222" i="5"/>
  <c r="I222" i="5"/>
  <c r="J221" i="5"/>
  <c r="I221" i="5"/>
  <c r="J220" i="5"/>
  <c r="I220" i="5"/>
  <c r="J219" i="5"/>
  <c r="I219" i="5"/>
  <c r="J218" i="5"/>
  <c r="I218" i="5"/>
  <c r="J217" i="5"/>
  <c r="I217" i="5"/>
  <c r="J216" i="5"/>
  <c r="I216" i="5"/>
  <c r="J215" i="5"/>
  <c r="I215" i="5"/>
  <c r="J214" i="5"/>
  <c r="I214" i="5"/>
  <c r="J213" i="5"/>
  <c r="I213" i="5"/>
  <c r="J212" i="5"/>
  <c r="I212" i="5"/>
  <c r="J211" i="5"/>
  <c r="I211" i="5"/>
  <c r="J210" i="5"/>
  <c r="I210" i="5"/>
  <c r="J209" i="5"/>
  <c r="I209" i="5"/>
  <c r="J208" i="5"/>
  <c r="I208" i="5"/>
  <c r="J207" i="5"/>
  <c r="I207" i="5"/>
  <c r="J206" i="5"/>
  <c r="I206" i="5"/>
  <c r="J205" i="5"/>
  <c r="I205" i="5"/>
  <c r="J204" i="5"/>
  <c r="I204" i="5"/>
  <c r="J203" i="5"/>
  <c r="I203" i="5"/>
  <c r="J202" i="5"/>
  <c r="I202" i="5"/>
  <c r="J201" i="5"/>
  <c r="I201" i="5"/>
  <c r="J200" i="5"/>
  <c r="I200" i="5"/>
  <c r="J199" i="5"/>
  <c r="I199" i="5"/>
  <c r="J198" i="5"/>
  <c r="I198" i="5"/>
  <c r="J197" i="5"/>
  <c r="I197" i="5"/>
  <c r="J196" i="5"/>
  <c r="I196" i="5"/>
  <c r="J195" i="5"/>
  <c r="I195" i="5"/>
  <c r="J194" i="5"/>
  <c r="I194" i="5"/>
  <c r="J193" i="5"/>
  <c r="I193" i="5"/>
  <c r="J192" i="5"/>
  <c r="I192" i="5"/>
  <c r="J191" i="5"/>
  <c r="I191" i="5"/>
  <c r="J190" i="5"/>
  <c r="I190" i="5"/>
  <c r="J189" i="5"/>
  <c r="I189" i="5"/>
  <c r="J188" i="5"/>
  <c r="I188" i="5"/>
  <c r="J187" i="5"/>
  <c r="I187" i="5"/>
  <c r="J186" i="5"/>
  <c r="I186" i="5"/>
  <c r="J185" i="5"/>
  <c r="I185" i="5"/>
  <c r="J184" i="5"/>
  <c r="I184" i="5"/>
  <c r="J183" i="5"/>
  <c r="I183" i="5"/>
  <c r="J182" i="5"/>
  <c r="I182" i="5"/>
  <c r="J181" i="5"/>
  <c r="I181" i="5"/>
  <c r="J180" i="5"/>
  <c r="I180" i="5"/>
  <c r="J179" i="5"/>
  <c r="I179" i="5"/>
  <c r="J178" i="5"/>
  <c r="I178" i="5"/>
  <c r="J177" i="5"/>
  <c r="I177" i="5"/>
  <c r="J176" i="5"/>
  <c r="I176" i="5"/>
  <c r="J175" i="5"/>
  <c r="I175" i="5"/>
  <c r="J174" i="5"/>
  <c r="I174" i="5"/>
  <c r="J173" i="5"/>
  <c r="I173" i="5"/>
  <c r="J172" i="5"/>
  <c r="I172" i="5"/>
  <c r="J171" i="5"/>
  <c r="I171" i="5"/>
  <c r="J170" i="5"/>
  <c r="I170" i="5"/>
  <c r="J169" i="5"/>
  <c r="I169" i="5"/>
  <c r="J168" i="5"/>
  <c r="I168" i="5"/>
  <c r="J167" i="5"/>
  <c r="I167" i="5"/>
  <c r="J166" i="5"/>
  <c r="I166" i="5"/>
  <c r="J165" i="5"/>
  <c r="I165" i="5"/>
  <c r="J164" i="5"/>
  <c r="I164" i="5"/>
  <c r="J163" i="5"/>
  <c r="I163" i="5"/>
  <c r="J162" i="5"/>
  <c r="I162" i="5"/>
  <c r="J161" i="5"/>
  <c r="I161" i="5"/>
  <c r="J160" i="5"/>
  <c r="I160" i="5"/>
  <c r="J159" i="5"/>
  <c r="I159" i="5"/>
  <c r="J158" i="5"/>
  <c r="I158" i="5"/>
  <c r="J157" i="5"/>
  <c r="I157" i="5"/>
  <c r="J156" i="5"/>
  <c r="I156" i="5"/>
  <c r="J155" i="5"/>
  <c r="I155" i="5"/>
  <c r="J154" i="5"/>
  <c r="I154" i="5"/>
  <c r="J153" i="5"/>
  <c r="I153" i="5"/>
  <c r="J152" i="5"/>
  <c r="I152" i="5"/>
  <c r="J151" i="5"/>
  <c r="I151" i="5"/>
  <c r="J150" i="5"/>
  <c r="I150" i="5"/>
  <c r="J149" i="5"/>
  <c r="I149" i="5"/>
  <c r="J148" i="5"/>
  <c r="I148" i="5"/>
  <c r="J147" i="5"/>
  <c r="I147" i="5"/>
  <c r="J146" i="5"/>
  <c r="I146" i="5"/>
  <c r="J145" i="5"/>
  <c r="I145" i="5"/>
  <c r="J144" i="5"/>
  <c r="I144" i="5"/>
  <c r="J143" i="5"/>
  <c r="I143" i="5"/>
  <c r="J142" i="5"/>
  <c r="I142" i="5"/>
  <c r="J141" i="5"/>
  <c r="I141" i="5"/>
  <c r="J140" i="5"/>
  <c r="I140" i="5"/>
  <c r="J139" i="5"/>
  <c r="I139" i="5"/>
  <c r="J138" i="5"/>
  <c r="I138" i="5"/>
  <c r="J137" i="5"/>
  <c r="I137" i="5"/>
  <c r="J136" i="5"/>
  <c r="I136" i="5"/>
  <c r="J135" i="5"/>
  <c r="I135" i="5"/>
  <c r="J134" i="5"/>
  <c r="I134" i="5"/>
  <c r="J133" i="5"/>
  <c r="I133" i="5"/>
  <c r="J132" i="5"/>
  <c r="I132" i="5"/>
  <c r="J131" i="5"/>
  <c r="I131" i="5"/>
  <c r="J130" i="5"/>
  <c r="I130" i="5"/>
  <c r="J129" i="5"/>
  <c r="I129" i="5"/>
  <c r="J128" i="5"/>
  <c r="I128" i="5"/>
  <c r="J127" i="5"/>
  <c r="I127" i="5"/>
  <c r="J126" i="5"/>
  <c r="I126" i="5"/>
  <c r="J125" i="5"/>
  <c r="I125" i="5"/>
  <c r="J124" i="5"/>
  <c r="I124" i="5"/>
  <c r="J123" i="5"/>
  <c r="I123" i="5"/>
  <c r="J122" i="5"/>
  <c r="I122" i="5"/>
  <c r="J121" i="5"/>
  <c r="I121" i="5"/>
  <c r="J120" i="5"/>
  <c r="I120" i="5"/>
  <c r="J119" i="5"/>
  <c r="I119" i="5"/>
  <c r="J118" i="5"/>
  <c r="I118" i="5"/>
  <c r="J117" i="5"/>
  <c r="I117" i="5"/>
  <c r="J116" i="5"/>
  <c r="I116" i="5"/>
  <c r="J115" i="5"/>
  <c r="I115" i="5"/>
  <c r="J114" i="5"/>
  <c r="I114" i="5"/>
  <c r="J113" i="5"/>
  <c r="I113" i="5"/>
  <c r="J112" i="5"/>
  <c r="I112" i="5"/>
  <c r="J111" i="5"/>
  <c r="I111" i="5"/>
  <c r="J110" i="5"/>
  <c r="I110" i="5"/>
  <c r="J109" i="5"/>
  <c r="I109" i="5"/>
  <c r="J108" i="5"/>
  <c r="I108" i="5"/>
  <c r="J107" i="5"/>
  <c r="I107" i="5"/>
  <c r="J106" i="5"/>
  <c r="I106" i="5"/>
  <c r="J105" i="5"/>
  <c r="I105" i="5"/>
  <c r="J104" i="5"/>
  <c r="I104" i="5"/>
  <c r="J103" i="5"/>
  <c r="I103" i="5"/>
  <c r="J102" i="5"/>
  <c r="I102" i="5"/>
  <c r="J101" i="5"/>
  <c r="I101" i="5"/>
  <c r="J100" i="5"/>
  <c r="I100" i="5"/>
  <c r="J99" i="5"/>
  <c r="I99" i="5"/>
  <c r="J98" i="5"/>
  <c r="I98" i="5"/>
  <c r="J97" i="5"/>
  <c r="I97" i="5"/>
  <c r="J96" i="5"/>
  <c r="I96" i="5"/>
  <c r="J95" i="5"/>
  <c r="I95" i="5"/>
  <c r="J94" i="5"/>
  <c r="I94" i="5"/>
  <c r="J93" i="5"/>
  <c r="I93" i="5"/>
  <c r="J92" i="5"/>
  <c r="I92" i="5"/>
  <c r="J91" i="5"/>
  <c r="I91" i="5"/>
  <c r="J90" i="5"/>
  <c r="I90" i="5"/>
  <c r="J89" i="5"/>
  <c r="I89" i="5"/>
  <c r="J88" i="5"/>
  <c r="I88" i="5"/>
  <c r="J87" i="5"/>
  <c r="I87" i="5"/>
  <c r="J86" i="5"/>
  <c r="I86" i="5"/>
  <c r="J85" i="5"/>
  <c r="I85" i="5"/>
  <c r="J84" i="5"/>
  <c r="I84" i="5"/>
  <c r="J83" i="5"/>
  <c r="I83" i="5"/>
  <c r="J82" i="5"/>
  <c r="I82" i="5"/>
  <c r="J81" i="5"/>
  <c r="I81" i="5"/>
  <c r="J80" i="5"/>
  <c r="I80" i="5"/>
  <c r="J79" i="5"/>
  <c r="I79" i="5"/>
  <c r="J78" i="5"/>
  <c r="I78" i="5"/>
  <c r="J77" i="5"/>
  <c r="I77" i="5"/>
  <c r="J76" i="5"/>
  <c r="I76" i="5"/>
  <c r="J75" i="5"/>
  <c r="I75" i="5"/>
  <c r="J74" i="5"/>
  <c r="I74" i="5"/>
  <c r="J73" i="5"/>
  <c r="I73" i="5"/>
  <c r="J72" i="5"/>
  <c r="I72" i="5"/>
  <c r="J71" i="5"/>
  <c r="I71" i="5"/>
  <c r="J70" i="5"/>
  <c r="I70" i="5"/>
  <c r="J69" i="5"/>
  <c r="I69" i="5"/>
  <c r="J68" i="5"/>
  <c r="I68" i="5"/>
  <c r="J67" i="5"/>
  <c r="I67" i="5"/>
  <c r="J66" i="5"/>
  <c r="I66" i="5"/>
  <c r="J65" i="5"/>
  <c r="I65" i="5"/>
  <c r="J64" i="5"/>
  <c r="I64" i="5"/>
  <c r="J63" i="5"/>
  <c r="I63" i="5"/>
  <c r="J62" i="5"/>
  <c r="I62" i="5"/>
  <c r="J61" i="5"/>
  <c r="I61" i="5"/>
  <c r="J60" i="5"/>
  <c r="I60" i="5"/>
  <c r="J59" i="5"/>
  <c r="I59" i="5"/>
  <c r="J58" i="5"/>
  <c r="I58" i="5"/>
  <c r="J57" i="5"/>
  <c r="I57" i="5"/>
  <c r="J56" i="5"/>
  <c r="I56" i="5"/>
  <c r="J55" i="5"/>
  <c r="I55" i="5"/>
  <c r="J54" i="5"/>
  <c r="I54" i="5"/>
  <c r="J53" i="5"/>
  <c r="I53" i="5"/>
  <c r="J52" i="5"/>
  <c r="I52" i="5"/>
  <c r="J51" i="5"/>
  <c r="I51" i="5"/>
  <c r="J50" i="5"/>
  <c r="I50" i="5"/>
  <c r="J49" i="5"/>
  <c r="I49" i="5"/>
  <c r="J48" i="5"/>
  <c r="I48" i="5"/>
  <c r="J47" i="5"/>
  <c r="I47" i="5"/>
  <c r="J46" i="5"/>
  <c r="I46" i="5"/>
  <c r="J45" i="5"/>
  <c r="I45" i="5"/>
  <c r="J44" i="5"/>
  <c r="I44" i="5"/>
  <c r="J43" i="5"/>
  <c r="I43" i="5"/>
  <c r="J42" i="5"/>
  <c r="I42" i="5"/>
  <c r="J41" i="5"/>
  <c r="I41" i="5"/>
  <c r="J40" i="5"/>
  <c r="I40" i="5"/>
  <c r="J39" i="5"/>
  <c r="I39" i="5"/>
  <c r="J38" i="5"/>
  <c r="I38" i="5"/>
  <c r="J37" i="5"/>
  <c r="I37" i="5"/>
  <c r="J36" i="5"/>
  <c r="I36" i="5"/>
  <c r="J35" i="5"/>
  <c r="I35" i="5"/>
  <c r="J34" i="5"/>
  <c r="I34" i="5"/>
  <c r="J33" i="5"/>
  <c r="I33" i="5"/>
  <c r="J32" i="5"/>
  <c r="I32" i="5"/>
  <c r="J31" i="5"/>
  <c r="I31" i="5"/>
  <c r="J30" i="5"/>
  <c r="I30" i="5"/>
  <c r="J29" i="5"/>
  <c r="I29" i="5"/>
  <c r="J28" i="5"/>
  <c r="I28" i="5"/>
  <c r="J27" i="5"/>
  <c r="I27" i="5"/>
  <c r="J26" i="5"/>
  <c r="I26" i="5"/>
  <c r="J25" i="5"/>
  <c r="I25" i="5"/>
  <c r="J24" i="5"/>
  <c r="I24" i="5"/>
  <c r="J23" i="5"/>
  <c r="I23" i="5"/>
  <c r="J22" i="5"/>
  <c r="I22" i="5"/>
  <c r="J21" i="5"/>
  <c r="I21" i="5"/>
  <c r="J20" i="5"/>
  <c r="I20" i="5"/>
  <c r="J19" i="5"/>
  <c r="I19" i="5"/>
  <c r="J18" i="5"/>
  <c r="I18" i="5"/>
  <c r="J17" i="5"/>
  <c r="I17" i="5"/>
  <c r="J16" i="5"/>
  <c r="I16" i="5"/>
  <c r="J15" i="5"/>
  <c r="I15" i="5"/>
  <c r="J14" i="5"/>
  <c r="I14" i="5"/>
  <c r="J13" i="5"/>
  <c r="I13" i="5"/>
  <c r="J12" i="5"/>
  <c r="I12" i="5"/>
  <c r="J11" i="5"/>
  <c r="I11" i="5"/>
  <c r="J10" i="5"/>
  <c r="I10" i="5"/>
  <c r="J9" i="5"/>
  <c r="I9" i="5"/>
  <c r="J8" i="5"/>
  <c r="I8" i="5"/>
  <c r="J7" i="5"/>
  <c r="I7" i="5"/>
  <c r="J6" i="5"/>
  <c r="I6" i="5"/>
  <c r="J5" i="5"/>
  <c r="I5" i="5"/>
  <c r="J4" i="5"/>
  <c r="I4" i="5"/>
  <c r="J3" i="5"/>
  <c r="I3" i="5"/>
  <c r="J2" i="5"/>
  <c r="I2" i="5"/>
  <c r="J1" i="5"/>
  <c r="I1" i="5"/>
  <c r="O208" i="6" l="1"/>
  <c r="O200" i="6"/>
  <c r="O192" i="6"/>
  <c r="O184" i="6"/>
  <c r="O176" i="6"/>
  <c r="O168" i="6"/>
  <c r="O160" i="6"/>
  <c r="O152" i="6"/>
  <c r="O144" i="6"/>
  <c r="O136" i="6"/>
  <c r="O209" i="6"/>
  <c r="O201" i="6"/>
  <c r="O193" i="6"/>
  <c r="O185" i="6"/>
  <c r="O177" i="6"/>
  <c r="O169" i="6"/>
  <c r="O161" i="6"/>
  <c r="O153" i="6"/>
  <c r="O145" i="6"/>
  <c r="O137" i="6"/>
  <c r="O129" i="6"/>
  <c r="O121" i="6"/>
  <c r="O113" i="6"/>
  <c r="O105" i="6"/>
  <c r="O97" i="6"/>
  <c r="O89" i="6"/>
  <c r="O81" i="6"/>
  <c r="O73" i="6"/>
  <c r="O65" i="6"/>
  <c r="O57" i="6"/>
  <c r="O49" i="6"/>
  <c r="O41" i="6"/>
  <c r="O33" i="6"/>
  <c r="O25" i="6"/>
  <c r="O17" i="6"/>
  <c r="O9" i="6"/>
  <c r="O210" i="6"/>
  <c r="O202" i="6"/>
  <c r="O194" i="6"/>
  <c r="O186" i="6"/>
  <c r="O178" i="6"/>
  <c r="O170" i="6"/>
  <c r="O162" i="6"/>
  <c r="O154" i="6"/>
  <c r="O146" i="6"/>
  <c r="O138" i="6"/>
  <c r="O130" i="6"/>
  <c r="O122" i="6"/>
  <c r="O114" i="6"/>
  <c r="O106" i="6"/>
  <c r="O98" i="6"/>
  <c r="O90" i="6"/>
  <c r="O82" i="6"/>
  <c r="O74" i="6"/>
  <c r="O66" i="6"/>
  <c r="O58" i="6"/>
  <c r="O50" i="6"/>
  <c r="O42" i="6"/>
  <c r="O34" i="6"/>
  <c r="O26" i="6"/>
  <c r="O18" i="6"/>
  <c r="O10" i="6"/>
  <c r="O128" i="6"/>
  <c r="O120" i="6"/>
  <c r="O112" i="6"/>
  <c r="O104" i="6"/>
  <c r="O96" i="6"/>
  <c r="O88" i="6"/>
  <c r="O80" i="6"/>
  <c r="O72" i="6"/>
  <c r="O64" i="6"/>
  <c r="O56" i="6"/>
  <c r="O48" i="6"/>
  <c r="O40" i="6"/>
  <c r="O32" i="6"/>
  <c r="O24" i="6"/>
  <c r="O16" i="6"/>
  <c r="O8" i="6"/>
  <c r="O124" i="6"/>
  <c r="O116" i="6"/>
  <c r="O108" i="6"/>
  <c r="O100" i="6"/>
  <c r="O92" i="6"/>
  <c r="O84" i="6"/>
  <c r="O76" i="6"/>
  <c r="O68" i="6"/>
  <c r="O60" i="6"/>
  <c r="O52" i="6"/>
  <c r="O44" i="6"/>
  <c r="O36" i="6"/>
  <c r="O28" i="6"/>
  <c r="O20" i="6"/>
  <c r="O12" i="6"/>
  <c r="O4" i="6"/>
  <c r="O211" i="6"/>
  <c r="O203" i="6"/>
  <c r="O195" i="6"/>
  <c r="O187" i="6"/>
  <c r="O179" i="6"/>
  <c r="O171" i="6"/>
  <c r="O163" i="6"/>
  <c r="O155" i="6"/>
  <c r="O147" i="6"/>
  <c r="O139" i="6"/>
  <c r="O131" i="6"/>
  <c r="O123" i="6"/>
  <c r="O115" i="6"/>
  <c r="O107" i="6"/>
  <c r="O99" i="6"/>
  <c r="O91" i="6"/>
  <c r="O83" i="6"/>
  <c r="O75" i="6"/>
  <c r="O67" i="6"/>
  <c r="O59" i="6"/>
  <c r="O51" i="6"/>
  <c r="O43" i="6"/>
  <c r="O35" i="6"/>
  <c r="O27" i="6"/>
  <c r="O19" i="6"/>
  <c r="O11" i="6"/>
  <c r="I10" i="3"/>
  <c r="I14" i="3"/>
  <c r="I18" i="3"/>
  <c r="I22" i="3"/>
  <c r="I26" i="3"/>
  <c r="I30" i="3"/>
  <c r="I34" i="3"/>
  <c r="I38" i="3"/>
  <c r="I45" i="3"/>
  <c r="I2" i="3"/>
  <c r="I42" i="3"/>
  <c r="I46" i="3"/>
  <c r="I20" i="3"/>
  <c r="I24" i="3"/>
  <c r="I13" i="3"/>
  <c r="I17" i="3"/>
  <c r="I28" i="3"/>
  <c r="I25" i="3"/>
  <c r="I32" i="3"/>
  <c r="I4" i="3"/>
  <c r="I29" i="3"/>
  <c r="I36" i="3"/>
  <c r="I8" i="3"/>
  <c r="I33" i="3"/>
  <c r="I40" i="3"/>
  <c r="I5" i="3"/>
  <c r="I12" i="3"/>
  <c r="I37" i="3"/>
  <c r="I44" i="3"/>
  <c r="I9" i="3"/>
  <c r="I16" i="3"/>
  <c r="I27" i="3"/>
  <c r="I41" i="3"/>
  <c r="I21" i="3"/>
  <c r="I31" i="3"/>
  <c r="I47" i="3"/>
  <c r="I63" i="3"/>
  <c r="I79" i="3"/>
  <c r="I95" i="3"/>
  <c r="I111" i="3"/>
  <c r="I127" i="3"/>
  <c r="I143" i="3"/>
  <c r="I159" i="3"/>
  <c r="I175" i="3"/>
  <c r="I191" i="3"/>
  <c r="I207" i="3"/>
  <c r="I223" i="3"/>
  <c r="I239" i="3"/>
  <c r="I255" i="3"/>
  <c r="I271" i="3"/>
  <c r="I287" i="3"/>
  <c r="I296" i="3"/>
  <c r="I301" i="3"/>
  <c r="I304" i="3"/>
  <c r="I333" i="3"/>
  <c r="I336" i="3"/>
  <c r="I365" i="3"/>
  <c r="I368" i="3"/>
  <c r="I325" i="3"/>
  <c r="I328" i="3"/>
  <c r="I357" i="3"/>
  <c r="I360" i="3"/>
  <c r="I51" i="3"/>
  <c r="I67" i="3"/>
  <c r="I83" i="3"/>
  <c r="I99" i="3"/>
  <c r="I115" i="3"/>
  <c r="I131" i="3"/>
  <c r="I147" i="3"/>
  <c r="I163" i="3"/>
  <c r="I179" i="3"/>
  <c r="I195" i="3"/>
  <c r="I211" i="3"/>
  <c r="I227" i="3"/>
  <c r="I243" i="3"/>
  <c r="I259" i="3"/>
  <c r="I275" i="3"/>
  <c r="I291" i="3"/>
  <c r="I309" i="3"/>
  <c r="I312" i="3"/>
  <c r="I341" i="3"/>
  <c r="I344" i="3"/>
  <c r="I373" i="3"/>
  <c r="I385" i="3"/>
  <c r="I401" i="3"/>
  <c r="I417" i="3"/>
  <c r="I433" i="3"/>
  <c r="I449" i="3"/>
  <c r="I465" i="3"/>
  <c r="I481" i="3"/>
  <c r="I389" i="3"/>
  <c r="I405" i="3"/>
  <c r="I421" i="3"/>
  <c r="I437" i="3"/>
  <c r="I453" i="3"/>
  <c r="I469" i="3"/>
  <c r="I485" i="3"/>
  <c r="I501" i="3"/>
  <c r="I517" i="3"/>
  <c r="I533" i="3"/>
  <c r="I549" i="3"/>
  <c r="I629" i="3"/>
  <c r="I377" i="3"/>
  <c r="I393" i="3"/>
  <c r="I409" i="3"/>
  <c r="I425" i="3"/>
  <c r="I441" i="3"/>
  <c r="I457" i="3"/>
  <c r="I473" i="3"/>
  <c r="I489" i="3"/>
  <c r="I505" i="3"/>
  <c r="I521" i="3"/>
  <c r="I537" i="3"/>
  <c r="I553" i="3"/>
  <c r="I569" i="3"/>
  <c r="I585" i="3"/>
  <c r="I497" i="3"/>
  <c r="I513" i="3"/>
  <c r="I529" i="3"/>
  <c r="I545" i="3"/>
  <c r="I561" i="3"/>
  <c r="I577" i="3"/>
  <c r="I593" i="3"/>
  <c r="I625" i="3"/>
</calcChain>
</file>

<file path=xl/sharedStrings.xml><?xml version="1.0" encoding="utf-8"?>
<sst xmlns="http://schemas.openxmlformats.org/spreadsheetml/2006/main" count="7528" uniqueCount="1324">
  <si>
    <t>Header</t>
  </si>
  <si>
    <t>Merchant</t>
  </si>
  <si>
    <t>Event_id</t>
  </si>
  <si>
    <t>ScehmaCode</t>
  </si>
  <si>
    <t>SchemaName</t>
  </si>
  <si>
    <t>MasterCard Cr Per</t>
  </si>
  <si>
    <t>MasterCard Business</t>
  </si>
  <si>
    <t>MasterCard Fleet</t>
  </si>
  <si>
    <t>MasterCard Corporate</t>
  </si>
  <si>
    <t>MasterCard Purchase</t>
  </si>
  <si>
    <t>MasterCard Signia</t>
  </si>
  <si>
    <t>MasterCard World</t>
  </si>
  <si>
    <t>MasterCard Comm</t>
  </si>
  <si>
    <t>MasterCardDr Com Int</t>
  </si>
  <si>
    <t>MasterCardDr Per Int</t>
  </si>
  <si>
    <t>Dr MasterCard EEA</t>
  </si>
  <si>
    <t>Debit MasterCard Per Int</t>
  </si>
  <si>
    <t>Debit MasterCard Com Int</t>
  </si>
  <si>
    <t>Maestro UK (DOM) Com</t>
  </si>
  <si>
    <t>Maestro Intl Com</t>
  </si>
  <si>
    <t>Maestro UK (DOM) Per</t>
  </si>
  <si>
    <t>Maestro Intl Per</t>
  </si>
  <si>
    <t>Visa Elec Credit Personal</t>
  </si>
  <si>
    <t>Visa Credit Personal</t>
  </si>
  <si>
    <t>Visa Business</t>
  </si>
  <si>
    <t>Visa Commerce</t>
  </si>
  <si>
    <t>Visa Corporate</t>
  </si>
  <si>
    <t>Visa Purchasing</t>
  </si>
  <si>
    <t>Visa Electron Credit</t>
  </si>
  <si>
    <t>Visa Debit Per</t>
  </si>
  <si>
    <t>Visa Dr Per Int</t>
  </si>
  <si>
    <t>Visa Debit Com</t>
  </si>
  <si>
    <t>Visa Dr Com Intl</t>
  </si>
  <si>
    <t>Visa Electron</t>
  </si>
  <si>
    <t>Visa Elec Per Int</t>
  </si>
  <si>
    <t>All Star</t>
  </si>
  <si>
    <t>American Express</t>
  </si>
  <si>
    <t>Diners Club/Discover</t>
  </si>
  <si>
    <t>Diners Discover</t>
  </si>
  <si>
    <t>Diners International</t>
  </si>
  <si>
    <t>Diners UK (Elavon)</t>
  </si>
  <si>
    <t>LaSer</t>
  </si>
  <si>
    <t>JCB</t>
  </si>
  <si>
    <t>JCB UK</t>
  </si>
  <si>
    <t>JCB ROI</t>
  </si>
  <si>
    <t>JCB International</t>
  </si>
  <si>
    <t>Keyfuels</t>
  </si>
  <si>
    <t>Sears</t>
  </si>
  <si>
    <t>MasterCard Credit</t>
  </si>
  <si>
    <t>MasterCard Debit</t>
  </si>
  <si>
    <t>VISA Credit</t>
  </si>
  <si>
    <t>Visa Credit</t>
  </si>
  <si>
    <t>Visa Debit</t>
  </si>
  <si>
    <t>AMEX</t>
  </si>
  <si>
    <t>Diners</t>
  </si>
  <si>
    <t>Card Issuer</t>
  </si>
  <si>
    <t>MCC1</t>
  </si>
  <si>
    <t>MCC2</t>
  </si>
  <si>
    <t>MCC3</t>
  </si>
  <si>
    <t>MCC4</t>
  </si>
  <si>
    <t>MCC5</t>
  </si>
  <si>
    <t>MCC6</t>
  </si>
  <si>
    <t>MCC7</t>
  </si>
  <si>
    <t>MCC8</t>
  </si>
  <si>
    <t>MCC9</t>
  </si>
  <si>
    <t>MCD1</t>
  </si>
  <si>
    <t>MCD2</t>
  </si>
  <si>
    <t>MCD3</t>
  </si>
  <si>
    <t>MCD4</t>
  </si>
  <si>
    <t>MCD5</t>
  </si>
  <si>
    <t>MCD6</t>
  </si>
  <si>
    <t>MCD7</t>
  </si>
  <si>
    <t>MCD8</t>
  </si>
  <si>
    <t>MCD9</t>
  </si>
  <si>
    <t>MCD10</t>
  </si>
  <si>
    <t>VIC1</t>
  </si>
  <si>
    <t>VIC2</t>
  </si>
  <si>
    <t>VIC3</t>
  </si>
  <si>
    <t>VIC4</t>
  </si>
  <si>
    <t>VIC5</t>
  </si>
  <si>
    <t>VIC6</t>
  </si>
  <si>
    <t>VIC7</t>
  </si>
  <si>
    <t>VID1</t>
  </si>
  <si>
    <t>VID2</t>
  </si>
  <si>
    <t>VID3</t>
  </si>
  <si>
    <t>VID4</t>
  </si>
  <si>
    <t>VID5</t>
  </si>
  <si>
    <t>VID6</t>
  </si>
  <si>
    <t>ALLS</t>
  </si>
  <si>
    <t>DCD</t>
  </si>
  <si>
    <t>DD</t>
  </si>
  <si>
    <t>DI</t>
  </si>
  <si>
    <t>DUK</t>
  </si>
  <si>
    <t>LASER</t>
  </si>
  <si>
    <t>JCBUK</t>
  </si>
  <si>
    <t>JCBROI</t>
  </si>
  <si>
    <t>JCBI</t>
  </si>
  <si>
    <t>KF</t>
  </si>
  <si>
    <t>STARS</t>
  </si>
  <si>
    <t>Amount</t>
  </si>
  <si>
    <t>Transaction Type</t>
  </si>
  <si>
    <t xml:space="preserve">Acquired/Processed </t>
  </si>
  <si>
    <t>Authorised/NotAUTH</t>
  </si>
  <si>
    <t>CaptureMethode</t>
  </si>
  <si>
    <t>Jurisdiction</t>
  </si>
  <si>
    <t>Scheme Product</t>
  </si>
  <si>
    <t>Authorized #2</t>
  </si>
  <si>
    <t>Capture Method #1</t>
  </si>
  <si>
    <t>Jurisdiction #3</t>
  </si>
  <si>
    <t>ChargeType</t>
  </si>
  <si>
    <t>TransactionType</t>
  </si>
  <si>
    <t>capture method</t>
  </si>
  <si>
    <t>JURISDICTION</t>
  </si>
  <si>
    <t>magnetic stripe</t>
  </si>
  <si>
    <t>Purchase</t>
  </si>
  <si>
    <t>Domestic</t>
  </si>
  <si>
    <t>Quasi Cash</t>
  </si>
  <si>
    <t>Intra-regional</t>
  </si>
  <si>
    <t>MOTO non secure</t>
  </si>
  <si>
    <t>PWCB</t>
  </si>
  <si>
    <t>Inter-regional</t>
  </si>
  <si>
    <t>eCommerce</t>
  </si>
  <si>
    <t>Cash Advance</t>
  </si>
  <si>
    <t>eCommerce non secure</t>
  </si>
  <si>
    <t>Refund</t>
  </si>
  <si>
    <t>Paper</t>
  </si>
  <si>
    <t>OCT</t>
  </si>
  <si>
    <t>PAN key entry</t>
  </si>
  <si>
    <t>Contactless</t>
  </si>
  <si>
    <t>Y</t>
  </si>
  <si>
    <t>N</t>
  </si>
  <si>
    <t>Acquired</t>
  </si>
  <si>
    <t>Processed</t>
  </si>
  <si>
    <t>Authorised</t>
  </si>
  <si>
    <t>Not Authorised</t>
  </si>
  <si>
    <t>Base Codes</t>
  </si>
  <si>
    <t>APUMCC7</t>
  </si>
  <si>
    <t>APUMCC8</t>
  </si>
  <si>
    <t>APUMCC9</t>
  </si>
  <si>
    <t>APUMCD1</t>
  </si>
  <si>
    <t>APUMCD2</t>
  </si>
  <si>
    <t>APUMCD3</t>
  </si>
  <si>
    <t>APUMCD4</t>
  </si>
  <si>
    <t>APUMCD6</t>
  </si>
  <si>
    <t>APUMCD9</t>
  </si>
  <si>
    <t>APUVIC5</t>
  </si>
  <si>
    <t>APUVIC6</t>
  </si>
  <si>
    <t>APUVIC7</t>
  </si>
  <si>
    <t>APUVID1</t>
  </si>
  <si>
    <t>APUVID2</t>
  </si>
  <si>
    <t>APUVID3</t>
  </si>
  <si>
    <t>APUVID4</t>
  </si>
  <si>
    <t>APUVID6</t>
  </si>
  <si>
    <t>APUJCBUK</t>
  </si>
  <si>
    <t>APUJCBROI</t>
  </si>
  <si>
    <t>APUJCBI</t>
  </si>
  <si>
    <t>APUKF</t>
  </si>
  <si>
    <t>APUSTARS</t>
  </si>
  <si>
    <t>AOCMCC2</t>
  </si>
  <si>
    <t>APCMCC3</t>
  </si>
  <si>
    <t>ACAMCC6</t>
  </si>
  <si>
    <t>AOCMCD10</t>
  </si>
  <si>
    <t>APCVIC1</t>
  </si>
  <si>
    <t>ACAVIC4</t>
  </si>
  <si>
    <t>AOCDD</t>
  </si>
  <si>
    <t>APCDI</t>
  </si>
  <si>
    <t>APUJCB</t>
  </si>
  <si>
    <t>APUMCC2</t>
  </si>
  <si>
    <t>APUMCC3</t>
  </si>
  <si>
    <t>APUMCC4</t>
  </si>
  <si>
    <t>APUMCC5</t>
  </si>
  <si>
    <t>APUMCC6</t>
  </si>
  <si>
    <t>APUMCD5</t>
  </si>
  <si>
    <t>APUMCD7</t>
  </si>
  <si>
    <t>APUMCD8</t>
  </si>
  <si>
    <t>APUMCD10</t>
  </si>
  <si>
    <t>APUVIC1</t>
  </si>
  <si>
    <t>APUVIC2</t>
  </si>
  <si>
    <t>APUVIC3</t>
  </si>
  <si>
    <t>APUVIC4</t>
  </si>
  <si>
    <t>APUVID5</t>
  </si>
  <si>
    <t>APUALLS</t>
  </si>
  <si>
    <t>APUDD</t>
  </si>
  <si>
    <t>APUDI</t>
  </si>
  <si>
    <t>APUDUK</t>
  </si>
  <si>
    <t>APULASER</t>
  </si>
  <si>
    <t>ARFMCC2</t>
  </si>
  <si>
    <t>ARFMCC3</t>
  </si>
  <si>
    <t>ARFMCC4</t>
  </si>
  <si>
    <t>ARFMCC5</t>
  </si>
  <si>
    <t>ARFMCC6</t>
  </si>
  <si>
    <t>ARFMCC7</t>
  </si>
  <si>
    <t>ARFMCC8</t>
  </si>
  <si>
    <t>ARFMCC9</t>
  </si>
  <si>
    <t>ARFMCD1</t>
  </si>
  <si>
    <t>ARFMCD2</t>
  </si>
  <si>
    <t>ARFMCD3</t>
  </si>
  <si>
    <t>ARFMCD4</t>
  </si>
  <si>
    <t>ARFMCD5</t>
  </si>
  <si>
    <t>ARFMCD6</t>
  </si>
  <si>
    <t>ARFMCD7</t>
  </si>
  <si>
    <t>ARFMCD8</t>
  </si>
  <si>
    <t>ARFMCD9</t>
  </si>
  <si>
    <t>ARFMCD10</t>
  </si>
  <si>
    <t>ARFVIC1</t>
  </si>
  <si>
    <t>ARFVIC2</t>
  </si>
  <si>
    <t>ARFVIC3</t>
  </si>
  <si>
    <t>ARFVIC4</t>
  </si>
  <si>
    <t>ARFVIC5</t>
  </si>
  <si>
    <t>ARFVIC6</t>
  </si>
  <si>
    <t>ARFVIC7</t>
  </si>
  <si>
    <t>ARFVID1</t>
  </si>
  <si>
    <t>ARFVID2</t>
  </si>
  <si>
    <t>ARFVID3</t>
  </si>
  <si>
    <t>ARFVID4</t>
  </si>
  <si>
    <t>ARFVID5</t>
  </si>
  <si>
    <t>ARFVID6</t>
  </si>
  <si>
    <t>ARFALLS</t>
  </si>
  <si>
    <t>ARFDD</t>
  </si>
  <si>
    <t>ARFDI</t>
  </si>
  <si>
    <t>ARFDUK</t>
  </si>
  <si>
    <t>ARFLASER</t>
  </si>
  <si>
    <t>ARFJCBUK</t>
  </si>
  <si>
    <t>ARFJCBROI</t>
  </si>
  <si>
    <t>ARFJCBI</t>
  </si>
  <si>
    <t>ARFKF</t>
  </si>
  <si>
    <t>ARFSTARS</t>
  </si>
  <si>
    <t>ORMB charging product code</t>
  </si>
  <si>
    <t>ACAAC000</t>
  </si>
  <si>
    <t>ACAVPMCB</t>
  </si>
  <si>
    <t>ACAVPMCF</t>
  </si>
  <si>
    <t>ACAVPMCO</t>
  </si>
  <si>
    <t>ACAVPMCP</t>
  </si>
  <si>
    <t>ACAACMCW</t>
  </si>
  <si>
    <t>ACAVPMCX</t>
  </si>
  <si>
    <t>ACAACMCY</t>
  </si>
  <si>
    <t>ACAACMNW</t>
  </si>
  <si>
    <t>ACABC000</t>
  </si>
  <si>
    <t>ACAVPVIB</t>
  </si>
  <si>
    <t>ACAVPVID</t>
  </si>
  <si>
    <t>ACAVPVIR</t>
  </si>
  <si>
    <t>ACAVPVIS</t>
  </si>
  <si>
    <t>ACAVPVIX</t>
  </si>
  <si>
    <t>ACADC000</t>
  </si>
  <si>
    <t>ACADE000</t>
  </si>
  <si>
    <t>ACADM000</t>
  </si>
  <si>
    <t>ACAPMDOM</t>
  </si>
  <si>
    <t>ACAJC000</t>
  </si>
  <si>
    <t>ACAPE000</t>
  </si>
  <si>
    <t>AOCAC000</t>
  </si>
  <si>
    <t>AOCVPMCB</t>
  </si>
  <si>
    <t>AOCVPMCF</t>
  </si>
  <si>
    <t>AOCVPMCO</t>
  </si>
  <si>
    <t>AOCVPMCP</t>
  </si>
  <si>
    <t>AOCACMCW</t>
  </si>
  <si>
    <t>AOCVPMCX</t>
  </si>
  <si>
    <t>AOCACMCY</t>
  </si>
  <si>
    <t>AOCACMNW</t>
  </si>
  <si>
    <t>AOCBC000</t>
  </si>
  <si>
    <t>AOCVPVIB</t>
  </si>
  <si>
    <t>AOCVPVID</t>
  </si>
  <si>
    <t>AOCVPVIR</t>
  </si>
  <si>
    <t>AOCVPVIS</t>
  </si>
  <si>
    <t>AOCVPVIX</t>
  </si>
  <si>
    <t>AOCDC000</t>
  </si>
  <si>
    <t>AOCDE000</t>
  </si>
  <si>
    <t>AOCDM000</t>
  </si>
  <si>
    <t>AOCPMDOM</t>
  </si>
  <si>
    <t>AOCJC000</t>
  </si>
  <si>
    <t>AOCPE000</t>
  </si>
  <si>
    <t>APCAC000</t>
  </si>
  <si>
    <t>APCVPMCB</t>
  </si>
  <si>
    <t>APCVPMCF</t>
  </si>
  <si>
    <t>APCVPMCO</t>
  </si>
  <si>
    <t>APCVPMCP</t>
  </si>
  <si>
    <t>APCACMCW</t>
  </si>
  <si>
    <t>APCVPMCX</t>
  </si>
  <si>
    <t>APCACMCY</t>
  </si>
  <si>
    <t>APCACMNW</t>
  </si>
  <si>
    <t>APCBC000</t>
  </si>
  <si>
    <t>APCVPVIB</t>
  </si>
  <si>
    <t>APCVPVID</t>
  </si>
  <si>
    <t>APCVPVIR</t>
  </si>
  <si>
    <t>APCVPVIS</t>
  </si>
  <si>
    <t>APCVPVIX</t>
  </si>
  <si>
    <t>APCDC000</t>
  </si>
  <si>
    <t>APCDE000</t>
  </si>
  <si>
    <t>APCDM000</t>
  </si>
  <si>
    <t>APCPMDOM</t>
  </si>
  <si>
    <t>APCJC000</t>
  </si>
  <si>
    <t>APCPE000</t>
  </si>
  <si>
    <t>APUAC000</t>
  </si>
  <si>
    <t>APUVPMCB</t>
  </si>
  <si>
    <t>APUVPMCF</t>
  </si>
  <si>
    <t>APUVPMCO</t>
  </si>
  <si>
    <t>APUVPMCP</t>
  </si>
  <si>
    <t>APUACMCW</t>
  </si>
  <si>
    <t>APUVPMCX</t>
  </si>
  <si>
    <t>APUACMCY</t>
  </si>
  <si>
    <t>APUACMNW</t>
  </si>
  <si>
    <t>APUBC000</t>
  </si>
  <si>
    <t>APUVPVIB</t>
  </si>
  <si>
    <t>APUVPVID</t>
  </si>
  <si>
    <t>APUVPVIR</t>
  </si>
  <si>
    <t>APUVPVIS</t>
  </si>
  <si>
    <t>APUVPVIX</t>
  </si>
  <si>
    <t>APUDC000</t>
  </si>
  <si>
    <t>APUDE000</t>
  </si>
  <si>
    <t>APUDM000</t>
  </si>
  <si>
    <t>APUPMDOM</t>
  </si>
  <si>
    <t>APUJC000</t>
  </si>
  <si>
    <t>APUPE000</t>
  </si>
  <si>
    <t>ARFAC000</t>
  </si>
  <si>
    <t>ARFVPMCB</t>
  </si>
  <si>
    <t>ARFVPMCF</t>
  </si>
  <si>
    <t>ARFVPMCO</t>
  </si>
  <si>
    <t>ARFVPMCP</t>
  </si>
  <si>
    <t>ARFACMCW</t>
  </si>
  <si>
    <t>ARFVPMCX</t>
  </si>
  <si>
    <t>ARFACMCY</t>
  </si>
  <si>
    <t>ARFACMNW</t>
  </si>
  <si>
    <t>ARFBC000</t>
  </si>
  <si>
    <t>ARFVPVIB</t>
  </si>
  <si>
    <t>ARFVPVID</t>
  </si>
  <si>
    <t>ARFVPVIR</t>
  </si>
  <si>
    <t>ARFVPVIS</t>
  </si>
  <si>
    <t>ARFVPVIX</t>
  </si>
  <si>
    <t>ARFDC000</t>
  </si>
  <si>
    <t>ARFDE000</t>
  </si>
  <si>
    <t>ARFDM000</t>
  </si>
  <si>
    <t>ARFPMDOM</t>
  </si>
  <si>
    <t>ARFJC000</t>
  </si>
  <si>
    <t>ARFPE000</t>
  </si>
  <si>
    <t>MMAN01</t>
  </si>
  <si>
    <t>NAPAX</t>
  </si>
  <si>
    <t>NARAX</t>
  </si>
  <si>
    <t>NAPDC</t>
  </si>
  <si>
    <t>NARDC</t>
  </si>
  <si>
    <t>NAPLS</t>
  </si>
  <si>
    <t>NARLS</t>
  </si>
  <si>
    <t>NAPJC</t>
  </si>
  <si>
    <t>NARJC</t>
  </si>
  <si>
    <t>NAPKF</t>
  </si>
  <si>
    <t>NARKF</t>
  </si>
  <si>
    <t>NAPSE</t>
  </si>
  <si>
    <t>NARSE</t>
  </si>
  <si>
    <t>NAPAS</t>
  </si>
  <si>
    <t>NARAS</t>
  </si>
  <si>
    <t>NAPOD</t>
  </si>
  <si>
    <t>NAROD</t>
  </si>
  <si>
    <t>NAPSC</t>
  </si>
  <si>
    <t>NARSC</t>
  </si>
  <si>
    <t>PPMCCA01</t>
  </si>
  <si>
    <t>PPMCCC01</t>
  </si>
  <si>
    <t>PPMCCC02</t>
  </si>
  <si>
    <t>PPMCCC03</t>
  </si>
  <si>
    <t>PPMCCC05</t>
  </si>
  <si>
    <t>PPMCCC06</t>
  </si>
  <si>
    <t>PPMCCC07</t>
  </si>
  <si>
    <t>PPMCCC08</t>
  </si>
  <si>
    <t>PPMCCC09</t>
  </si>
  <si>
    <t>PPMCCC10</t>
  </si>
  <si>
    <t>PPMCCL01</t>
  </si>
  <si>
    <t>PPMCCL02</t>
  </si>
  <si>
    <t>PPMCCL03</t>
  </si>
  <si>
    <t>PPMCDA01</t>
  </si>
  <si>
    <t>PPMCDC01</t>
  </si>
  <si>
    <t>PPMCDC02</t>
  </si>
  <si>
    <t>PPMCDC03</t>
  </si>
  <si>
    <t>PPMCDC05</t>
  </si>
  <si>
    <t>PPMCDC06</t>
  </si>
  <si>
    <t>PPMCDC07</t>
  </si>
  <si>
    <t>PPMCDC08</t>
  </si>
  <si>
    <t>PPMCDC09</t>
  </si>
  <si>
    <t>PPMCDC10</t>
  </si>
  <si>
    <t>PPMCDL01</t>
  </si>
  <si>
    <t>PPMCDL02</t>
  </si>
  <si>
    <t>PPMCDL03</t>
  </si>
  <si>
    <t>PPVCCA01</t>
  </si>
  <si>
    <t>PPVCCC01</t>
  </si>
  <si>
    <t>PPVCCC02</t>
  </si>
  <si>
    <t>PPVCCC03</t>
  </si>
  <si>
    <t>PPVCCC05</t>
  </si>
  <si>
    <t>PPVCCC06</t>
  </si>
  <si>
    <t>PPVCCC07</t>
  </si>
  <si>
    <t>PPVCCC08</t>
  </si>
  <si>
    <t>PPVCCC09</t>
  </si>
  <si>
    <t>PPVCCC10</t>
  </si>
  <si>
    <t>PPVCCL01</t>
  </si>
  <si>
    <t>PPVCCL02</t>
  </si>
  <si>
    <t>PPVCCL03</t>
  </si>
  <si>
    <t>PPVCDA01</t>
  </si>
  <si>
    <t>PPVCDC01</t>
  </si>
  <si>
    <t>PPVCDC02</t>
  </si>
  <si>
    <t>PPVCDC03</t>
  </si>
  <si>
    <t>PPVCDC05</t>
  </si>
  <si>
    <t>PPVCDC06</t>
  </si>
  <si>
    <t>PPVCDC07</t>
  </si>
  <si>
    <t>PPVCDC08</t>
  </si>
  <si>
    <t>PPVCDC09</t>
  </si>
  <si>
    <t>PPVCDC10</t>
  </si>
  <si>
    <t>PPVCDL01</t>
  </si>
  <si>
    <t>PPVCDL02</t>
  </si>
  <si>
    <t>PPVCDL03</t>
  </si>
  <si>
    <t>PRMCCA01</t>
  </si>
  <si>
    <t>PRMCCC01</t>
  </si>
  <si>
    <t>PRMCCC02</t>
  </si>
  <si>
    <t>PRMCCC03</t>
  </si>
  <si>
    <t>PRMCCC05</t>
  </si>
  <si>
    <t>PRMCCC06</t>
  </si>
  <si>
    <t>PRMCCC07</t>
  </si>
  <si>
    <t>PRMCCC08</t>
  </si>
  <si>
    <t>PRMCCC09</t>
  </si>
  <si>
    <t>PRMCCC10</t>
  </si>
  <si>
    <t>PRMCCL01</t>
  </si>
  <si>
    <t>PRMCCL02</t>
  </si>
  <si>
    <t>PRMCCL03</t>
  </si>
  <si>
    <t>PRMCDA01</t>
  </si>
  <si>
    <t>PRMCDC01</t>
  </si>
  <si>
    <t>PRMCDC02</t>
  </si>
  <si>
    <t>PRMCDC03</t>
  </si>
  <si>
    <t>PRMCDC05</t>
  </si>
  <si>
    <t>PRMCDC06</t>
  </si>
  <si>
    <t>PRMCDC07</t>
  </si>
  <si>
    <t>PRMCDC08</t>
  </si>
  <si>
    <t>PRMCDC09</t>
  </si>
  <si>
    <t>PRMCDC10</t>
  </si>
  <si>
    <t>PRMCDL01</t>
  </si>
  <si>
    <t>PRMCDL02</t>
  </si>
  <si>
    <t>PRMCDL03</t>
  </si>
  <si>
    <t>PRVCCA01</t>
  </si>
  <si>
    <t>PRVCCC01</t>
  </si>
  <si>
    <t>PRVCCC02</t>
  </si>
  <si>
    <t>PRVCCC03</t>
  </si>
  <si>
    <t>PRVCCC05</t>
  </si>
  <si>
    <t>PRVCCC06</t>
  </si>
  <si>
    <t>PRVCCC07</t>
  </si>
  <si>
    <t>PRVCCC08</t>
  </si>
  <si>
    <t>PRVCCC09</t>
  </si>
  <si>
    <t>PRVCCC10</t>
  </si>
  <si>
    <t>PRVCCL01</t>
  </si>
  <si>
    <t>PRVCCL02</t>
  </si>
  <si>
    <t>PRVCCL03</t>
  </si>
  <si>
    <t>PRVCDA01</t>
  </si>
  <si>
    <t>PRVCDC01</t>
  </si>
  <si>
    <t>PRVCDC02</t>
  </si>
  <si>
    <t>PRVCDC03</t>
  </si>
  <si>
    <t>PRVCDC05</t>
  </si>
  <si>
    <t>PRVCDC06</t>
  </si>
  <si>
    <t>PRVCDC07</t>
  </si>
  <si>
    <t>PRVCDC08</t>
  </si>
  <si>
    <t>PRVCDC09</t>
  </si>
  <si>
    <t>PRVCDC10</t>
  </si>
  <si>
    <t>PRVCDL01</t>
  </si>
  <si>
    <t>PRVCDL02</t>
  </si>
  <si>
    <t>PRVCDL03</t>
  </si>
  <si>
    <t>PVDLV01</t>
  </si>
  <si>
    <t>MDCCREBT</t>
  </si>
  <si>
    <t>ACABCVIY</t>
  </si>
  <si>
    <t>AOCBCVIY</t>
  </si>
  <si>
    <t>APCBCVIY</t>
  </si>
  <si>
    <t>APUBCVIY</t>
  </si>
  <si>
    <t>ARFBCVIY</t>
  </si>
  <si>
    <t>ACADECOM</t>
  </si>
  <si>
    <t>AOCDECOM</t>
  </si>
  <si>
    <t>APCDECOM</t>
  </si>
  <si>
    <t>APUDECOM</t>
  </si>
  <si>
    <t>ARFDECOM</t>
  </si>
  <si>
    <t>ACAPMCOM</t>
  </si>
  <si>
    <t>AOCPMCOM</t>
  </si>
  <si>
    <t>APCPMCOM</t>
  </si>
  <si>
    <t>APUPMCOM</t>
  </si>
  <si>
    <t>ARFPMCOM</t>
  </si>
  <si>
    <t>ACAPMINC</t>
  </si>
  <si>
    <t>AOCPMINC</t>
  </si>
  <si>
    <t>APCPMINC</t>
  </si>
  <si>
    <t>APUPMINC</t>
  </si>
  <si>
    <t>ARFPMINC</t>
  </si>
  <si>
    <t>ACAPMINP</t>
  </si>
  <si>
    <t>AOCPMINP</t>
  </si>
  <si>
    <t>APCPMINP</t>
  </si>
  <si>
    <t>APUPMINP</t>
  </si>
  <si>
    <t>ARFPMINP</t>
  </si>
  <si>
    <t>ACADMMCY</t>
  </si>
  <si>
    <t>AOCDMMCY</t>
  </si>
  <si>
    <t>APCDMMCY</t>
  </si>
  <si>
    <t>APUDMMCY</t>
  </si>
  <si>
    <t>ARFDMMCY</t>
  </si>
  <si>
    <t>ACAPEVIY</t>
  </si>
  <si>
    <t>AOCPEVIY</t>
  </si>
  <si>
    <t>APCPEVIY</t>
  </si>
  <si>
    <t>APUPEVIY</t>
  </si>
  <si>
    <t>ARFPEVIY</t>
  </si>
  <si>
    <t>ACAPECRE</t>
  </si>
  <si>
    <t>AOCPECRE</t>
  </si>
  <si>
    <t>APCPECRE</t>
  </si>
  <si>
    <t>APUPECRE</t>
  </si>
  <si>
    <t>ARFPECRE</t>
  </si>
  <si>
    <t>ACADMCOM</t>
  </si>
  <si>
    <t>AOCDMCOM</t>
  </si>
  <si>
    <t>APCDMCOM</t>
  </si>
  <si>
    <t>APUDMCOM</t>
  </si>
  <si>
    <t>ARFDMCOM</t>
  </si>
  <si>
    <t>ACAVP002</t>
  </si>
  <si>
    <t>AOCVP002</t>
  </si>
  <si>
    <t>APCVP002</t>
  </si>
  <si>
    <t>APUVP002</t>
  </si>
  <si>
    <t>ARFVP002</t>
  </si>
  <si>
    <t>CBRAC000</t>
  </si>
  <si>
    <t>CBRACMCW</t>
  </si>
  <si>
    <t>CBRACMCY</t>
  </si>
  <si>
    <t>CBRACMNW</t>
  </si>
  <si>
    <t>CBRBC000</t>
  </si>
  <si>
    <t>CBRVPVIX</t>
  </si>
  <si>
    <t>CBRBCVIY</t>
  </si>
  <si>
    <t>CBRDC000</t>
  </si>
  <si>
    <t>CBRDE000</t>
  </si>
  <si>
    <t>CBRDECOM</t>
  </si>
  <si>
    <t>CBRDM000</t>
  </si>
  <si>
    <t>CBRDMCOM</t>
  </si>
  <si>
    <t>CBRDMMCY</t>
  </si>
  <si>
    <t>CBRJC000</t>
  </si>
  <si>
    <t>CBRPE000</t>
  </si>
  <si>
    <t>CBRPECRE</t>
  </si>
  <si>
    <t>CBRPEVIY</t>
  </si>
  <si>
    <t>CBRPMDOM</t>
  </si>
  <si>
    <t>CBRPMCOM</t>
  </si>
  <si>
    <t>CBRPMINC</t>
  </si>
  <si>
    <t>CBRPMINP</t>
  </si>
  <si>
    <t>CBRVP002</t>
  </si>
  <si>
    <t>CBRVPMCB</t>
  </si>
  <si>
    <t>CBRVPMCF</t>
  </si>
  <si>
    <t>CBRVPMCO</t>
  </si>
  <si>
    <t>CBRVPMCP</t>
  </si>
  <si>
    <t>CBRVPMCX</t>
  </si>
  <si>
    <t>CBRVPVIB</t>
  </si>
  <si>
    <t>CBRVPVID</t>
  </si>
  <si>
    <t>CBRVPVIR</t>
  </si>
  <si>
    <t>CBRVPVIS</t>
  </si>
  <si>
    <t>PC</t>
  </si>
  <si>
    <t>DC</t>
  </si>
  <si>
    <t>Charge Type</t>
  </si>
  <si>
    <t>Scheme</t>
  </si>
  <si>
    <t>Capt Method</t>
  </si>
  <si>
    <t>Contactless cats</t>
  </si>
  <si>
    <t>PI</t>
  </si>
  <si>
    <t>Manual Batch / Transaction Entry</t>
  </si>
  <si>
    <t>Overdrive</t>
  </si>
  <si>
    <t>Supercharge</t>
  </si>
  <si>
    <t>PTC</t>
  </si>
  <si>
    <t>paper</t>
  </si>
  <si>
    <t>contactless</t>
  </si>
  <si>
    <t>&lt;=2.00</t>
  </si>
  <si>
    <t>&gt;=2.01; &lt;=10.00</t>
  </si>
  <si>
    <t>&gt;=10.01</t>
  </si>
  <si>
    <t>Not authorised</t>
  </si>
  <si>
    <t>Low Value ROI: 0.00 to 15.00</t>
  </si>
  <si>
    <t>DCC Rebate</t>
  </si>
  <si>
    <t>Maestro Com</t>
  </si>
  <si>
    <t>n/a</t>
  </si>
  <si>
    <t xml:space="preserve">Chargeback </t>
  </si>
  <si>
    <t>Debit MasterCard Com</t>
  </si>
  <si>
    <t>Debit MasterCard Per</t>
  </si>
  <si>
    <t>Visa Elec Credit Per</t>
  </si>
  <si>
    <t>Pricing Segment</t>
  </si>
  <si>
    <t>Pricing Segment Name</t>
  </si>
  <si>
    <t>Scheme Brand/Premium Charge Pricing Bucket</t>
  </si>
  <si>
    <t>Internal Scheme Product</t>
  </si>
  <si>
    <t>AC000</t>
  </si>
  <si>
    <t>VPMCB</t>
  </si>
  <si>
    <t>VPMCF</t>
  </si>
  <si>
    <t>VPMCO</t>
  </si>
  <si>
    <t>VPMCP</t>
  </si>
  <si>
    <t>ACMCW</t>
  </si>
  <si>
    <t>ACMNW</t>
  </si>
  <si>
    <t>VP002</t>
  </si>
  <si>
    <t>VPMCX</t>
  </si>
  <si>
    <t>ACMCY</t>
  </si>
  <si>
    <t>DM000</t>
  </si>
  <si>
    <t>DMMCY</t>
  </si>
  <si>
    <t>DMCOM</t>
  </si>
  <si>
    <t>PMCOM</t>
  </si>
  <si>
    <t>PMINC</t>
  </si>
  <si>
    <t>PMDOM</t>
  </si>
  <si>
    <t>PM000</t>
  </si>
  <si>
    <t>PMINP</t>
  </si>
  <si>
    <t>PECRE</t>
  </si>
  <si>
    <t>BC000</t>
  </si>
  <si>
    <t>VPVIB</t>
  </si>
  <si>
    <t>VPVID</t>
  </si>
  <si>
    <t>VPVIR</t>
  </si>
  <si>
    <t>VPVIS</t>
  </si>
  <si>
    <t>DE000</t>
  </si>
  <si>
    <t>BCVIY</t>
  </si>
  <si>
    <t>DECOM</t>
  </si>
  <si>
    <t>VPVIX</t>
  </si>
  <si>
    <t>PE000</t>
  </si>
  <si>
    <t>PEVIY</t>
  </si>
  <si>
    <t>AS000</t>
  </si>
  <si>
    <t>AX000</t>
  </si>
  <si>
    <t>DC000</t>
  </si>
  <si>
    <t>LS000</t>
  </si>
  <si>
    <t>JC000</t>
  </si>
  <si>
    <t>KF000</t>
  </si>
  <si>
    <t>SE000</t>
  </si>
  <si>
    <t>ACAMCC1</t>
  </si>
  <si>
    <t>ACAMCC2</t>
  </si>
  <si>
    <t>ACAMCC3</t>
  </si>
  <si>
    <t>ACAMCC4</t>
  </si>
  <si>
    <t>ACAMCC5</t>
  </si>
  <si>
    <t>ACAMCD1</t>
  </si>
  <si>
    <t>ACAMCD2</t>
  </si>
  <si>
    <t>ACAMCC7</t>
  </si>
  <si>
    <t>ACAVIC2</t>
  </si>
  <si>
    <t>ACAVIC3</t>
  </si>
  <si>
    <t>ACAVIC5</t>
  </si>
  <si>
    <t>ACAVIC6</t>
  </si>
  <si>
    <t>ACAVID4</t>
  </si>
  <si>
    <t>ACAVID1</t>
  </si>
  <si>
    <t>ACAMCD3</t>
  </si>
  <si>
    <t>ACAMCD8</t>
  </si>
  <si>
    <t>ACAVID5</t>
  </si>
  <si>
    <t>AOCMCC1</t>
  </si>
  <si>
    <t>AOCMCC3</t>
  </si>
  <si>
    <t>AOCMCC4</t>
  </si>
  <si>
    <t>AOCMCC5</t>
  </si>
  <si>
    <t>AOCMCC6</t>
  </si>
  <si>
    <t>AOCMCD1</t>
  </si>
  <si>
    <t>AOCMCD2</t>
  </si>
  <si>
    <t>AOCMCC7</t>
  </si>
  <si>
    <t>AOCVIC2</t>
  </si>
  <si>
    <t>AOCVIC3</t>
  </si>
  <si>
    <t>AOCVIC4</t>
  </si>
  <si>
    <t>AOCVIC5</t>
  </si>
  <si>
    <t>AOCVIC6</t>
  </si>
  <si>
    <t>AOCVID4</t>
  </si>
  <si>
    <t>AOCVID1</t>
  </si>
  <si>
    <t>AOCMCD3</t>
  </si>
  <si>
    <t>AOCMCD8</t>
  </si>
  <si>
    <t>AOCVID5</t>
  </si>
  <si>
    <t>APCMCC1</t>
  </si>
  <si>
    <t>APCMCC2</t>
  </si>
  <si>
    <t>APCMCC4</t>
  </si>
  <si>
    <t>APCMCC5</t>
  </si>
  <si>
    <t>APCMCC6</t>
  </si>
  <si>
    <t>APCMCD1</t>
  </si>
  <si>
    <t>APCMCD2</t>
  </si>
  <si>
    <t>APCMCC7</t>
  </si>
  <si>
    <t>APCVIC2</t>
  </si>
  <si>
    <t>APCVIC3</t>
  </si>
  <si>
    <t>APCVIC4</t>
  </si>
  <si>
    <t>APCVIC5</t>
  </si>
  <si>
    <t>APCVIC6</t>
  </si>
  <si>
    <t>APCVID4</t>
  </si>
  <si>
    <t>APCVID1</t>
  </si>
  <si>
    <t>APCMCD3</t>
  </si>
  <si>
    <t>APCMCD8</t>
  </si>
  <si>
    <t>APCVID5</t>
  </si>
  <si>
    <t>APUMCC1</t>
  </si>
  <si>
    <t>ARFMCC1</t>
  </si>
  <si>
    <t>Charge Codes</t>
  </si>
  <si>
    <t>PPI</t>
  </si>
  <si>
    <t>PPC</t>
  </si>
  <si>
    <t>ACA</t>
  </si>
  <si>
    <t>AOC</t>
  </si>
  <si>
    <t>APU</t>
  </si>
  <si>
    <t>APC</t>
  </si>
  <si>
    <t>ARF</t>
  </si>
  <si>
    <t>ACAMCC8</t>
  </si>
  <si>
    <t>ACAMCC9</t>
  </si>
  <si>
    <t>ACAMCD4</t>
  </si>
  <si>
    <t>ACAMCD5</t>
  </si>
  <si>
    <t>ACAMCD6</t>
  </si>
  <si>
    <t>ACAMCD7</t>
  </si>
  <si>
    <t>ACAMCD9</t>
  </si>
  <si>
    <t>ACAMCD10</t>
  </si>
  <si>
    <t>ACAVIC1</t>
  </si>
  <si>
    <t>ACAVIC7</t>
  </si>
  <si>
    <t>ACAVID2</t>
  </si>
  <si>
    <t>ACAVID3</t>
  </si>
  <si>
    <t>ACAVID6</t>
  </si>
  <si>
    <t>ACAALLS</t>
  </si>
  <si>
    <t>ACADD</t>
  </si>
  <si>
    <t>ACADI</t>
  </si>
  <si>
    <t>ACADUK</t>
  </si>
  <si>
    <t>ACALASER</t>
  </si>
  <si>
    <t>ACAJCBUK</t>
  </si>
  <si>
    <t>ACAJCBROI</t>
  </si>
  <si>
    <t>ACAJCBI</t>
  </si>
  <si>
    <t>ACAKF</t>
  </si>
  <si>
    <t>ACASTARS</t>
  </si>
  <si>
    <t>AOCMCC8</t>
  </si>
  <si>
    <t>AOCMCC9</t>
  </si>
  <si>
    <t>AOCMCD4</t>
  </si>
  <si>
    <t>AOCMCD5</t>
  </si>
  <si>
    <t>AOCMCD6</t>
  </si>
  <si>
    <t>AOCMCD7</t>
  </si>
  <si>
    <t>AOCMCD9</t>
  </si>
  <si>
    <t>AOCVIC1</t>
  </si>
  <si>
    <t>AOCVIC7</t>
  </si>
  <si>
    <t>AOCVID2</t>
  </si>
  <si>
    <t>AOCVID3</t>
  </si>
  <si>
    <t>AOCVID6</t>
  </si>
  <si>
    <t>AOCALLS</t>
  </si>
  <si>
    <t>AOCDI</t>
  </si>
  <si>
    <t>AOCDUK</t>
  </si>
  <si>
    <t>AOCLASER</t>
  </si>
  <si>
    <t>AOCJCBUK</t>
  </si>
  <si>
    <t>AOCJCBROI</t>
  </si>
  <si>
    <t>AOCJCBI</t>
  </si>
  <si>
    <t>AOCKF</t>
  </si>
  <si>
    <t>AOCSTARS</t>
  </si>
  <si>
    <t>APCMCC8</t>
  </si>
  <si>
    <t>APCMCC9</t>
  </si>
  <si>
    <t>APCMCD4</t>
  </si>
  <si>
    <t>APCMCD5</t>
  </si>
  <si>
    <t>APCMCD6</t>
  </si>
  <si>
    <t>APCMCD7</t>
  </si>
  <si>
    <t>APCMCD9</t>
  </si>
  <si>
    <t>APCMCD10</t>
  </si>
  <si>
    <t>APCVIC7</t>
  </si>
  <si>
    <t>APCVID2</t>
  </si>
  <si>
    <t>APCVID3</t>
  </si>
  <si>
    <t>APCVID6</t>
  </si>
  <si>
    <t>APCALLS</t>
  </si>
  <si>
    <t>APCDD</t>
  </si>
  <si>
    <t>APCDUK</t>
  </si>
  <si>
    <t>APCLASER</t>
  </si>
  <si>
    <t>APCJCBUK</t>
  </si>
  <si>
    <t>APCJCBROI</t>
  </si>
  <si>
    <t>APCJCBI</t>
  </si>
  <si>
    <t>APCKF</t>
  </si>
  <si>
    <t>APCSTARS</t>
  </si>
  <si>
    <t>JC</t>
  </si>
  <si>
    <t>MC</t>
  </si>
  <si>
    <t>VI</t>
  </si>
  <si>
    <t>AL</t>
  </si>
  <si>
    <t>AM</t>
  </si>
  <si>
    <t>DU</t>
  </si>
  <si>
    <t>LA</t>
  </si>
  <si>
    <t>ST</t>
  </si>
  <si>
    <t>schema abv</t>
  </si>
  <si>
    <t>Auth</t>
  </si>
  <si>
    <t>ELECTRONIC</t>
  </si>
  <si>
    <t>TxnCurrency</t>
  </si>
  <si>
    <t>FX_IN</t>
  </si>
  <si>
    <t>FX_OUT</t>
  </si>
  <si>
    <t>SettlemntCurrency</t>
  </si>
  <si>
    <t>RON</t>
  </si>
  <si>
    <t>EUR</t>
  </si>
  <si>
    <t>ProcessingDate</t>
  </si>
  <si>
    <t>01.09.2019</t>
  </si>
  <si>
    <t>FXINCOME</t>
  </si>
  <si>
    <t>PPC*FUND</t>
  </si>
  <si>
    <t>PPC*FUND+PPI</t>
  </si>
  <si>
    <t>Merchant 1</t>
  </si>
  <si>
    <t>Merchant 2</t>
  </si>
  <si>
    <t>MerchanID</t>
  </si>
  <si>
    <t>ACAJCB</t>
  </si>
  <si>
    <t>AOCJCB</t>
  </si>
  <si>
    <t>APCJCB</t>
  </si>
  <si>
    <t>ARFJCB</t>
  </si>
  <si>
    <t>MERCH00002</t>
  </si>
  <si>
    <t>SET IDENTITY_INSERT [dbo].[Contracts] ON</t>
  </si>
  <si>
    <t>SET IDENTITY_INSERT [dbo].[Contracts] OFF</t>
  </si>
  <si>
    <t>Auchan</t>
  </si>
  <si>
    <t>PPMCA01</t>
  </si>
  <si>
    <t>PPMCC01</t>
  </si>
  <si>
    <t>PPMCC02</t>
  </si>
  <si>
    <t>PPMCC03</t>
  </si>
  <si>
    <t>PPMCC05</t>
  </si>
  <si>
    <t>PPMCC06</t>
  </si>
  <si>
    <t>PPMCC07</t>
  </si>
  <si>
    <t>PPMCC08</t>
  </si>
  <si>
    <t>PPMCC09</t>
  </si>
  <si>
    <t>PPMCC04</t>
  </si>
  <si>
    <t>PPMDA01</t>
  </si>
  <si>
    <t>PPMDC01</t>
  </si>
  <si>
    <t>PPMDC02</t>
  </si>
  <si>
    <t>PPMDC03</t>
  </si>
  <si>
    <t>PPMDC05</t>
  </si>
  <si>
    <t>PPMDC06</t>
  </si>
  <si>
    <t>PPMDC07</t>
  </si>
  <si>
    <t>PPMDC08</t>
  </si>
  <si>
    <t>PPMDC09</t>
  </si>
  <si>
    <t>PPMDC04</t>
  </si>
  <si>
    <t>PPVCA01</t>
  </si>
  <si>
    <t>PPVCC01</t>
  </si>
  <si>
    <t>PPVCC02</t>
  </si>
  <si>
    <t>PPVCC03</t>
  </si>
  <si>
    <t>PPVCC05</t>
  </si>
  <si>
    <t>PPVCC06</t>
  </si>
  <si>
    <t>PPVCC07</t>
  </si>
  <si>
    <t>PPVCC08</t>
  </si>
  <si>
    <t>PPVCC09</t>
  </si>
  <si>
    <t>PPVCC04</t>
  </si>
  <si>
    <t>PPVDA01</t>
  </si>
  <si>
    <t>PPVDC01</t>
  </si>
  <si>
    <t>PPVDC02</t>
  </si>
  <si>
    <t>PPVDC03</t>
  </si>
  <si>
    <t>PPVDC05</t>
  </si>
  <si>
    <t>PPVDC06</t>
  </si>
  <si>
    <t>PPVDC07</t>
  </si>
  <si>
    <t>PPVDC08</t>
  </si>
  <si>
    <t>PPVDC09</t>
  </si>
  <si>
    <t>PPVDC04</t>
  </si>
  <si>
    <t>PRMCA01</t>
  </si>
  <si>
    <t>PRMCC01</t>
  </si>
  <si>
    <t>PRMCC02</t>
  </si>
  <si>
    <t>PRMCC03</t>
  </si>
  <si>
    <t>PRMCC05</t>
  </si>
  <si>
    <t>PRMCC06</t>
  </si>
  <si>
    <t>PRMCC07</t>
  </si>
  <si>
    <t>PRMCC08</t>
  </si>
  <si>
    <t>PRMCC09</t>
  </si>
  <si>
    <t>PRMCC04</t>
  </si>
  <si>
    <t>PRMDA01</t>
  </si>
  <si>
    <t>PRMDC01</t>
  </si>
  <si>
    <t>PRMDC02</t>
  </si>
  <si>
    <t>PRMDC03</t>
  </si>
  <si>
    <t>PRMDC05</t>
  </si>
  <si>
    <t>PRMDC06</t>
  </si>
  <si>
    <t>PRMDC07</t>
  </si>
  <si>
    <t>PRMDC08</t>
  </si>
  <si>
    <t>PRMDC09</t>
  </si>
  <si>
    <t>PRMDC04</t>
  </si>
  <si>
    <t>PRVCA01</t>
  </si>
  <si>
    <t>PRVCC01</t>
  </si>
  <si>
    <t>PRVCC02</t>
  </si>
  <si>
    <t>PRVCC03</t>
  </si>
  <si>
    <t>PRVCC05</t>
  </si>
  <si>
    <t>PRVCC06</t>
  </si>
  <si>
    <t>PRVCC07</t>
  </si>
  <si>
    <t>PRVCC08</t>
  </si>
  <si>
    <t>PRVCC09</t>
  </si>
  <si>
    <t>PRVCC04</t>
  </si>
  <si>
    <t>PRVDA01</t>
  </si>
  <si>
    <t>PRVDC01</t>
  </si>
  <si>
    <t>PRVDC02</t>
  </si>
  <si>
    <t>PRVDC03</t>
  </si>
  <si>
    <t>PRVDC05</t>
  </si>
  <si>
    <t>PRVDC06</t>
  </si>
  <si>
    <t>PRVDC07</t>
  </si>
  <si>
    <t>PRVDC08</t>
  </si>
  <si>
    <t>PRVDC09</t>
  </si>
  <si>
    <t>PRVDC04</t>
  </si>
  <si>
    <t>PPMCL55</t>
  </si>
  <si>
    <t>PPMCL66</t>
  </si>
  <si>
    <t>PPMCL77</t>
  </si>
  <si>
    <t>PPMDL55</t>
  </si>
  <si>
    <t>PPMDL66</t>
  </si>
  <si>
    <t>PPMDL77</t>
  </si>
  <si>
    <t>PPVCL55</t>
  </si>
  <si>
    <t>PPVCL66</t>
  </si>
  <si>
    <t>PPVCL77</t>
  </si>
  <si>
    <t>PPVDL55</t>
  </si>
  <si>
    <t>PPVDL66</t>
  </si>
  <si>
    <t>PPVDL77</t>
  </si>
  <si>
    <t>PRMCL55</t>
  </si>
  <si>
    <t>PRMCL66</t>
  </si>
  <si>
    <t>PRMCL77</t>
  </si>
  <si>
    <t>PRMDL55</t>
  </si>
  <si>
    <t>PRMDL66</t>
  </si>
  <si>
    <t>PRMDL77</t>
  </si>
  <si>
    <t>PRVCL55</t>
  </si>
  <si>
    <t>PRVCL66</t>
  </si>
  <si>
    <t>PRVCL77</t>
  </si>
  <si>
    <t>PRVDL55</t>
  </si>
  <si>
    <t>PRVDL66</t>
  </si>
  <si>
    <t>PRVDL77</t>
  </si>
  <si>
    <t>CPARAMEX</t>
  </si>
  <si>
    <t>CPAPAMEX</t>
  </si>
  <si>
    <t>CPAPDCD</t>
  </si>
  <si>
    <t>CPARDCD</t>
  </si>
  <si>
    <t>MISVI</t>
  </si>
  <si>
    <t>MISMC</t>
  </si>
  <si>
    <t>MISDD</t>
  </si>
  <si>
    <t>MISDC</t>
  </si>
  <si>
    <t>MISJC</t>
  </si>
  <si>
    <t>MISAM</t>
  </si>
  <si>
    <t>MasterCard Cr Per - Cash Advance</t>
  </si>
  <si>
    <t>MasterCard Business - Cash Advance</t>
  </si>
  <si>
    <t>MasterCard Fleet - Cash Advance</t>
  </si>
  <si>
    <t>MasterCard Corporate - Cash Advance</t>
  </si>
  <si>
    <t>MasterCard Purchase - Cash Advance</t>
  </si>
  <si>
    <t>MasterCard Signia - Cash Advance</t>
  </si>
  <si>
    <t>MasterCard World - Cash Advance</t>
  </si>
  <si>
    <t>MasterCard Comm - Cash Advance</t>
  </si>
  <si>
    <t>MasterCardDr Com Int - Cash Advance</t>
  </si>
  <si>
    <t>MasterCardDr Per Int - Cash Advance</t>
  </si>
  <si>
    <t>Dr MasterCard EEA - Cash Advance</t>
  </si>
  <si>
    <t>Debit MasterCard Per Int - Cash Advance</t>
  </si>
  <si>
    <t>Debit MasterCard Com Int - Cash Advance</t>
  </si>
  <si>
    <t>Maestro UK (DOM) Com - Cash Advance</t>
  </si>
  <si>
    <t>Maestro Intl Com - Cash Advance</t>
  </si>
  <si>
    <t>Maestro UK (DOM) Per - Cash Advance</t>
  </si>
  <si>
    <t>Maestro Intl Per - Cash Advance</t>
  </si>
  <si>
    <t>Visa Elec Credit Personal - Cash Advance</t>
  </si>
  <si>
    <t>Visa Credit Personal - Cash Advance</t>
  </si>
  <si>
    <t>Visa Business - Cash Advance</t>
  </si>
  <si>
    <t>Visa Commerce - Cash Advance</t>
  </si>
  <si>
    <t>Visa Corporate - Cash Advance</t>
  </si>
  <si>
    <t>Visa Purchasing - Cash Advance</t>
  </si>
  <si>
    <t>Visa Electron Credit - Cash Advance</t>
  </si>
  <si>
    <t>Visa Debit Per - Cash Advance</t>
  </si>
  <si>
    <t>Visa Dr Per Int - Cash Advance</t>
  </si>
  <si>
    <t>Visa Debit Com - Cash Advance</t>
  </si>
  <si>
    <t>Visa Dr Com Intl - Cash Advance</t>
  </si>
  <si>
    <t>Visa Electron - Cash Advance</t>
  </si>
  <si>
    <t>Visa Elec Per Int - Cash Advance</t>
  </si>
  <si>
    <t>All Star - Cash Advance</t>
  </si>
  <si>
    <t>Diners Discover - Cash Advance</t>
  </si>
  <si>
    <t>Diners International - Cash Advance</t>
  </si>
  <si>
    <t>Diners UK (Elavon) - Cash Advance</t>
  </si>
  <si>
    <t>LaSer - Purchase</t>
  </si>
  <si>
    <t>JCB UK - Purchase</t>
  </si>
  <si>
    <t>JCB ROI - Purchase</t>
  </si>
  <si>
    <t>JCB International - Purchase</t>
  </si>
  <si>
    <t>Keyfuels - Cash Advance</t>
  </si>
  <si>
    <t>MasterCard Cr Per - OCT</t>
  </si>
  <si>
    <t>MasterCard Business - OCT</t>
  </si>
  <si>
    <t>MasterCard Fleet - OCT</t>
  </si>
  <si>
    <t>MasterCard Corporate - OCT</t>
  </si>
  <si>
    <t>MasterCard Purchase - OCT</t>
  </si>
  <si>
    <t>MasterCard Signia - OCT</t>
  </si>
  <si>
    <t>MasterCard World - OCT</t>
  </si>
  <si>
    <t>MasterCard Comm - OCT</t>
  </si>
  <si>
    <t>MasterCardDr Com Int - OCT</t>
  </si>
  <si>
    <t>MasterCardDr Per Int - OCT</t>
  </si>
  <si>
    <t>Dr MasterCard EEA - OCT</t>
  </si>
  <si>
    <t>Debit MasterCard Per Int - OCT</t>
  </si>
  <si>
    <t>Debit MasterCard Com Int - OCT</t>
  </si>
  <si>
    <t>Maestro UK (DOM) Com - OCT</t>
  </si>
  <si>
    <t>Maestro Intl Com - OCT</t>
  </si>
  <si>
    <t>Maestro UK (DOM) Per - OCT</t>
  </si>
  <si>
    <t>Maestro Intl Per - OCT</t>
  </si>
  <si>
    <t>Visa Elec Credit Personal - OCT</t>
  </si>
  <si>
    <t>Visa Credit Personal - OCT</t>
  </si>
  <si>
    <t>Visa Business - OCT</t>
  </si>
  <si>
    <t>Visa Commerce - OCT</t>
  </si>
  <si>
    <t>Visa Corporate - OCT</t>
  </si>
  <si>
    <t>Visa Purchasing - OCT</t>
  </si>
  <si>
    <t>Visa Electron Credit - OCT</t>
  </si>
  <si>
    <t>Visa Debit Per - OCT</t>
  </si>
  <si>
    <t>Visa Dr Per Int - OCT</t>
  </si>
  <si>
    <t>Visa Debit Com - OCT</t>
  </si>
  <si>
    <t>Visa Dr Com Intl - OCT</t>
  </si>
  <si>
    <t>Visa Electron - OCT</t>
  </si>
  <si>
    <t>Visa Elec Per Int - OCT</t>
  </si>
  <si>
    <t>All Star - OCT</t>
  </si>
  <si>
    <t>Diners Discover - OCT</t>
  </si>
  <si>
    <t>Diners International - OCT</t>
  </si>
  <si>
    <t>Diners UK (Elavon) - OCT</t>
  </si>
  <si>
    <t>LaSer - OCT</t>
  </si>
  <si>
    <t>JCB UK - OCT</t>
  </si>
  <si>
    <t>JCB ROI - OCT</t>
  </si>
  <si>
    <t>JCB International - OCT</t>
  </si>
  <si>
    <t>Keyfuels - OCT</t>
  </si>
  <si>
    <t>Sears - OCT</t>
  </si>
  <si>
    <t>MasterCard Cr Per - PWCB</t>
  </si>
  <si>
    <t>MasterCard Business - PWCB</t>
  </si>
  <si>
    <t>MasterCard Fleet - PWCB</t>
  </si>
  <si>
    <t>MasterCard Corporate - PWCB</t>
  </si>
  <si>
    <t>MasterCard Purchase - PWCB</t>
  </si>
  <si>
    <t>MasterCard Signia - PWCB</t>
  </si>
  <si>
    <t>MasterCard World - PWCB</t>
  </si>
  <si>
    <t>MasterCard Comm - PWCB</t>
  </si>
  <si>
    <t>MasterCardDr Com Int - PWCB</t>
  </si>
  <si>
    <t>MasterCardDr Per Int - PWCB</t>
  </si>
  <si>
    <t>Dr MasterCard EEA - PWCB</t>
  </si>
  <si>
    <t>Debit MasterCard Per Int - PWCB</t>
  </si>
  <si>
    <t>Debit MasterCard Com Int - PWCB</t>
  </si>
  <si>
    <t>Maestro UK (DOM) Com - PWCB</t>
  </si>
  <si>
    <t>Maestro Intl Com - PWCB</t>
  </si>
  <si>
    <t>Maestro UK (DOM) Per - PWCB</t>
  </si>
  <si>
    <t>Maestro Intl Per - PWCB</t>
  </si>
  <si>
    <t>Visa Elec Credit Personal - PWCB</t>
  </si>
  <si>
    <t>Visa Credit Personal - PWCB</t>
  </si>
  <si>
    <t>Visa Business - PWCB</t>
  </si>
  <si>
    <t>Visa Commerce - PWCB</t>
  </si>
  <si>
    <t>Visa Corporate - PWCB</t>
  </si>
  <si>
    <t>Visa Purchasing - PWCB</t>
  </si>
  <si>
    <t>Visa Electron Credit - PWCB</t>
  </si>
  <si>
    <t>Visa Debit Per - PWCB</t>
  </si>
  <si>
    <t>Visa Dr Per Int - PWCB</t>
  </si>
  <si>
    <t>Visa Debit Com - PWCB</t>
  </si>
  <si>
    <t>Visa Dr Com Intl - PWCB</t>
  </si>
  <si>
    <t>Visa Electron - PWCB</t>
  </si>
  <si>
    <t>Visa Elec Per Int - PWCB</t>
  </si>
  <si>
    <t>All Star - PWCB</t>
  </si>
  <si>
    <t>Diners Discover - PWCB</t>
  </si>
  <si>
    <t>Diners International - PWCB</t>
  </si>
  <si>
    <t>Diners UK (Elavon) - PWCB</t>
  </si>
  <si>
    <t>LaSer - PWCB</t>
  </si>
  <si>
    <t>JCB UK - PWCB</t>
  </si>
  <si>
    <t>JCB ROI - PWCB</t>
  </si>
  <si>
    <t>JCB International - PWCB</t>
  </si>
  <si>
    <t>Keyfuels - PWCB</t>
  </si>
  <si>
    <t>Sears - PWCB</t>
  </si>
  <si>
    <t>MasterCard Cr Per - Purchase</t>
  </si>
  <si>
    <t>MasterCard Business - Purchase</t>
  </si>
  <si>
    <t>MasterCard Fleet - Purchase</t>
  </si>
  <si>
    <t>MasterCard Corporate - Purchase</t>
  </si>
  <si>
    <t>MasterCard Purchase - Purchase</t>
  </si>
  <si>
    <t>MasterCard Signia - Purchase</t>
  </si>
  <si>
    <t>MasterCard World - Purchase</t>
  </si>
  <si>
    <t>MasterCard Comm - Purchase</t>
  </si>
  <si>
    <t>MasterCardDr Com Int - Purchase</t>
  </si>
  <si>
    <t>MasterCardDr Per Int - Purchase</t>
  </si>
  <si>
    <t>Dr MasterCard EEA - Purchase</t>
  </si>
  <si>
    <t>Debit MasterCard Per Int - Purchase</t>
  </si>
  <si>
    <t>Debit MasterCard Com Int - Purchase</t>
  </si>
  <si>
    <t>Maestro UK (DOM) Com - Purchase</t>
  </si>
  <si>
    <t>Maestro Intl Com - Purchase</t>
  </si>
  <si>
    <t>Maestro UK (DOM) Per - Purchase</t>
  </si>
  <si>
    <t>Maestro Intl Per - Purchase</t>
  </si>
  <si>
    <t>Visa Elec Credit Personal - Purchase</t>
  </si>
  <si>
    <t>Visa Credit Personal - Purchase</t>
  </si>
  <si>
    <t>Visa Business - Purchase</t>
  </si>
  <si>
    <t>Visa Commerce - Purchase</t>
  </si>
  <si>
    <t>Visa Corporate - Purchase</t>
  </si>
  <si>
    <t>Visa Purchasing - Purchase</t>
  </si>
  <si>
    <t>Visa Electron Credit - Purchase</t>
  </si>
  <si>
    <t>Visa Debit Per - Purchase</t>
  </si>
  <si>
    <t>Visa Dr Per Int - Purchase</t>
  </si>
  <si>
    <t>Visa Debit Com - Purchase</t>
  </si>
  <si>
    <t>Visa Dr Com Intl - Purchase</t>
  </si>
  <si>
    <t>Visa Electron - Purchase</t>
  </si>
  <si>
    <t>Visa Elec Per Int - Purchase</t>
  </si>
  <si>
    <t>All Star - Purchase</t>
  </si>
  <si>
    <t>Diners Discover - Purchase</t>
  </si>
  <si>
    <t>Diners International - Purchase</t>
  </si>
  <si>
    <t>Diners UK (Elavon) - Purchase</t>
  </si>
  <si>
    <t>Keyfuels - Purchase</t>
  </si>
  <si>
    <t>Sears - Purchase</t>
  </si>
  <si>
    <t>MasterCard Cr Per - Refund</t>
  </si>
  <si>
    <t>MasterCard Business - Refund</t>
  </si>
  <si>
    <t>MasterCard Fleet - Refund</t>
  </si>
  <si>
    <t>MasterCard Corporate - Refund</t>
  </si>
  <si>
    <t>MasterCard Purchase - Refund</t>
  </si>
  <si>
    <t>MasterCard Signia - Refund</t>
  </si>
  <si>
    <t>MasterCard World - Refund</t>
  </si>
  <si>
    <t>MasterCard Comm - Refund</t>
  </si>
  <si>
    <t>MasterCardDr Com Int - Refund</t>
  </si>
  <si>
    <t>MasterCardDr Per Int - Refund</t>
  </si>
  <si>
    <t>Dr MasterCard EEA - Refund</t>
  </si>
  <si>
    <t>Debit MasterCard Per Int - Refund</t>
  </si>
  <si>
    <t>Debit MasterCard Com Int - Refund</t>
  </si>
  <si>
    <t>Maestro UK (DOM) Com - Refund</t>
  </si>
  <si>
    <t>Maestro Intl Com - Refund</t>
  </si>
  <si>
    <t>Maestro UK (DOM) Per - Refund</t>
  </si>
  <si>
    <t>Maestro Intl Per - Refund</t>
  </si>
  <si>
    <t>Visa Elec Credit Personal - Refund</t>
  </si>
  <si>
    <t>Visa Credit Personal - Refund</t>
  </si>
  <si>
    <t>Visa Business - Refund</t>
  </si>
  <si>
    <t>Visa Commerce - Refund</t>
  </si>
  <si>
    <t>Visa Corporate - Refund</t>
  </si>
  <si>
    <t>Visa Purchasing - Refund</t>
  </si>
  <si>
    <t>Visa Electron Credit - Refund</t>
  </si>
  <si>
    <t>Visa Debit Per - Refund</t>
  </si>
  <si>
    <t>Visa Dr Per Int - Refund</t>
  </si>
  <si>
    <t>Visa Debit Com - Refund</t>
  </si>
  <si>
    <t>Visa Dr Com Intl - Refund</t>
  </si>
  <si>
    <t>Visa Electron - Refund</t>
  </si>
  <si>
    <t>Visa Elec Per Int - Refund</t>
  </si>
  <si>
    <t>All Star - Refund</t>
  </si>
  <si>
    <t>Diners Discover - Refund</t>
  </si>
  <si>
    <t>Diners International - Refund</t>
  </si>
  <si>
    <t>Diners UK (Elavon) - Refund</t>
  </si>
  <si>
    <t>LaSer - Refund</t>
  </si>
  <si>
    <t>JCB UK - Refund</t>
  </si>
  <si>
    <t>JCB ROI - Refund</t>
  </si>
  <si>
    <t>JCB International - Refund</t>
  </si>
  <si>
    <t>Keyfuels - Refund</t>
  </si>
  <si>
    <t>Sears - Refund</t>
  </si>
  <si>
    <t>JCB - Cash Advance</t>
  </si>
  <si>
    <t>JCB - OCT</t>
  </si>
  <si>
    <t>JCB - PWCB</t>
  </si>
  <si>
    <t>JCB - Purchase</t>
  </si>
  <si>
    <t>JCB - Refund</t>
  </si>
  <si>
    <t>MasterCard Credit-Purchase-NotAuthorised</t>
  </si>
  <si>
    <t>MasterCard Credit-Purchase-Online Chip</t>
  </si>
  <si>
    <t>MasterCard Credit-Purchase-magnetic stripe</t>
  </si>
  <si>
    <t>MasterCard Credit-Purchase-MOTO secure</t>
  </si>
  <si>
    <t>MasterCard Credit-Purchase-Offline Chip</t>
  </si>
  <si>
    <t>MasterCard Credit-Purchase-eCommerce</t>
  </si>
  <si>
    <t>MasterCard Credit-Purchase-Contactless</t>
  </si>
  <si>
    <t>MasterCard Credit-Purchase-PAN key entry</t>
  </si>
  <si>
    <t>MasterCard Credit-Purchase-Offline Pin</t>
  </si>
  <si>
    <t>MasterCard Credit-Purchase-Paper</t>
  </si>
  <si>
    <t>MasterCard Debit-Purchase-NotAuthorised</t>
  </si>
  <si>
    <t>MasterCard Debit-Purchase-Online Chip</t>
  </si>
  <si>
    <t>MasterCard Debit-Purchase-magnetic stripe</t>
  </si>
  <si>
    <t>MasterCard Debit-Purchase-MOTO secure</t>
  </si>
  <si>
    <t>MasterCard Debit-Purchase-Offline Chip</t>
  </si>
  <si>
    <t>MasterCard Debit-Purchase-eCommerce</t>
  </si>
  <si>
    <t>MasterCard Debit-Purchase-Contactless</t>
  </si>
  <si>
    <t>MasterCard Debit-Purchase-PAN key entry</t>
  </si>
  <si>
    <t>MasterCard Debit-Purchase-Offline Pin</t>
  </si>
  <si>
    <t>MasterCard Debit-Purchase-Paper</t>
  </si>
  <si>
    <t>Visa Credit-Purchase-NotAuthorised</t>
  </si>
  <si>
    <t>Visa Credit-Purchase-Online Chip</t>
  </si>
  <si>
    <t>Visa Credit-Purchase-magnetic stripe</t>
  </si>
  <si>
    <t>Visa Credit-Purchase-MOTO secure</t>
  </si>
  <si>
    <t>Visa Credit-Purchase-Offline Chip</t>
  </si>
  <si>
    <t>Visa Credit-Purchase-eCommerce</t>
  </si>
  <si>
    <t>Visa Credit-Purchase-Contactless</t>
  </si>
  <si>
    <t>Visa Credit-Purchase-PAN key entry</t>
  </si>
  <si>
    <t>Visa Credit-Purchase-Offline Pin</t>
  </si>
  <si>
    <t>Visa Credit-Purchase-Paper</t>
  </si>
  <si>
    <t>Visa Debit-Purchase-NotAuthorised</t>
  </si>
  <si>
    <t>Visa Debit-Purchase-Online Chip</t>
  </si>
  <si>
    <t>Visa Debit-Purchase-magnetic stripe</t>
  </si>
  <si>
    <t>Visa Debit-Purchase-MOTO secure</t>
  </si>
  <si>
    <t>Visa Debit-Purchase-Offline Chip</t>
  </si>
  <si>
    <t>Visa Debit-Purchase-eCommerce</t>
  </si>
  <si>
    <t>Visa Debit-Purchase-Contactless</t>
  </si>
  <si>
    <t>Visa Debit-Purchase-PAN key entry</t>
  </si>
  <si>
    <t>Visa Debit-Purchase-Offline Pin</t>
  </si>
  <si>
    <t>Visa Debit-Purchase-Paper</t>
  </si>
  <si>
    <t>MasterCard Credit-Refund-NotAuthorised</t>
  </si>
  <si>
    <t>MasterCard Credit-Refund-Online Chip</t>
  </si>
  <si>
    <t>MasterCard Credit-Refund-magnetic stripe</t>
  </si>
  <si>
    <t>MasterCard Credit-Refund-MOTO secure</t>
  </si>
  <si>
    <t>MasterCard Credit-Refund-Offline Chip</t>
  </si>
  <si>
    <t>MasterCard Credit-Refund-eCommerce</t>
  </si>
  <si>
    <t>MasterCard Credit-Refund-Contactless</t>
  </si>
  <si>
    <t>MasterCard Credit-Refund-PAN key entry</t>
  </si>
  <si>
    <t>MasterCard Credit-Refund-Offline Pin</t>
  </si>
  <si>
    <t>MasterCard Credit-Refund-Paper</t>
  </si>
  <si>
    <t>MasterCard Debit-Refund-NotAuthorised</t>
  </si>
  <si>
    <t>MasterCard Debit-Refund-Online Chip</t>
  </si>
  <si>
    <t>MasterCard Debit-Refund-magnetic stripe</t>
  </si>
  <si>
    <t>MasterCard Debit-Refund-MOTO secure</t>
  </si>
  <si>
    <t>MasterCard Debit-Refund-Offline Chip</t>
  </si>
  <si>
    <t>MasterCard Debit-Refund-eCommerce</t>
  </si>
  <si>
    <t>MasterCard Debit-Refund-Contactless</t>
  </si>
  <si>
    <t>MasterCard Debit-Refund-PAN key entry</t>
  </si>
  <si>
    <t>MasterCard Debit-Refund-Offline Pin</t>
  </si>
  <si>
    <t>MasterCard Debit-Refund-Paper</t>
  </si>
  <si>
    <t>Visa Credit-Refund-NotAuthorised</t>
  </si>
  <si>
    <t>Visa Credit-Refund-Online Chip</t>
  </si>
  <si>
    <t>Visa Credit-Refund-magnetic stripe</t>
  </si>
  <si>
    <t>Visa Credit-Refund-MOTO secure</t>
  </si>
  <si>
    <t>Visa Credit-Refund-Offline Chip</t>
  </si>
  <si>
    <t>Visa Credit-Refund-eCommerce</t>
  </si>
  <si>
    <t>Visa Credit-Refund-Contactless</t>
  </si>
  <si>
    <t>Visa Credit-Refund-PAN key entry</t>
  </si>
  <si>
    <t>Visa Credit-Refund-Offline Pin</t>
  </si>
  <si>
    <t>Visa Credit-Refund-Paper</t>
  </si>
  <si>
    <t>Visa Debit-Refund-NotAuthorised</t>
  </si>
  <si>
    <t>Visa Debit-Refund-Online Chip</t>
  </si>
  <si>
    <t>Visa Debit-Refund-magnetic stripe</t>
  </si>
  <si>
    <t>Visa Debit-Refund-MOTO secure</t>
  </si>
  <si>
    <t>Visa Debit-Refund-Offline Chip</t>
  </si>
  <si>
    <t>Visa Debit-Refund-eCommerce</t>
  </si>
  <si>
    <t>Visa Debit-Refund-Contactless</t>
  </si>
  <si>
    <t>Visa Debit-Refund-PAN key entry</t>
  </si>
  <si>
    <t>Visa Debit-Refund-Offline Pin</t>
  </si>
  <si>
    <t>Visa Debit-Refund-Paper</t>
  </si>
  <si>
    <t>MasterCard Credit-Purchase-Domestic</t>
  </si>
  <si>
    <t>MasterCard Credit-Purchase-Intra-regional</t>
  </si>
  <si>
    <t>MasterCard Credit-Purchase-Inter-regional</t>
  </si>
  <si>
    <t>MasterCard Debit-Purchase-Domestic</t>
  </si>
  <si>
    <t>MasterCard Debit-Purchase-Intra-regional</t>
  </si>
  <si>
    <t>MasterCard Debit-Purchase-Inter-regional</t>
  </si>
  <si>
    <t>Visa Credit-Purchase-Domestic</t>
  </si>
  <si>
    <t>Visa Credit-Purchase-Intra-regional</t>
  </si>
  <si>
    <t>Visa Credit-Purchase-Inter-regional</t>
  </si>
  <si>
    <t>Visa Debit-Purchase-Domestic</t>
  </si>
  <si>
    <t>Visa Debit-Purchase-Intra-regional</t>
  </si>
  <si>
    <t>Visa Debit-Purchase-Inter-regional</t>
  </si>
  <si>
    <t>MasterCard Credit-Refund-Domestic</t>
  </si>
  <si>
    <t>MasterCard Credit-Refund-Intra-regional</t>
  </si>
  <si>
    <t>MasterCard Credit-Refund-Inter-regional</t>
  </si>
  <si>
    <t>MasterCard Debit-Refund-Domestic</t>
  </si>
  <si>
    <t>MasterCard Debit-Refund-Intra-regional</t>
  </si>
  <si>
    <t>MasterCard Debit-Refund-Inter-regional</t>
  </si>
  <si>
    <t>Visa Credit-Refund-Domestic</t>
  </si>
  <si>
    <t>Visa Credit-Refund-Intra-regional</t>
  </si>
  <si>
    <t>Visa Credit-Refund-Inter-regional</t>
  </si>
  <si>
    <t>Visa Debit-Refund-Domestic</t>
  </si>
  <si>
    <t>Visa Debit-Refund-Intra-regional</t>
  </si>
  <si>
    <t>Visa Debit-Refund-Inter-regional</t>
  </si>
  <si>
    <t>Amex-Refund</t>
  </si>
  <si>
    <t>Amex-Purchase</t>
  </si>
  <si>
    <t>Diners-Purchase</t>
  </si>
  <si>
    <t>Diners-Refund</t>
  </si>
  <si>
    <t>Visa-AUTH</t>
  </si>
  <si>
    <t>MasterCard-AUTH</t>
  </si>
  <si>
    <t>Diners-AUTH</t>
  </si>
  <si>
    <t>JCB-AUTH</t>
  </si>
  <si>
    <t>AMEX-AUTH</t>
  </si>
  <si>
    <t>Prem CptMth</t>
  </si>
  <si>
    <t xml:space="preserve">        magneticStripe = 2,</t>
  </si>
  <si>
    <t xml:space="preserve">        MOTOsecure = 3,</t>
  </si>
  <si>
    <t xml:space="preserve">        Paper = 4,</t>
  </si>
  <si>
    <t xml:space="preserve">        OfflineChip = 5,</t>
  </si>
  <si>
    <t xml:space="preserve">        eCommerce = 6,</t>
  </si>
  <si>
    <t xml:space="preserve">        Contactless = 7,</t>
  </si>
  <si>
    <t xml:space="preserve">        PANKeyEntry = 8,</t>
  </si>
  <si>
    <t xml:space="preserve">        OfflinePin = 9,</t>
  </si>
  <si>
    <t xml:space="preserve">        InteractiveVoice = 11,</t>
  </si>
  <si>
    <t xml:space="preserve">        MOTONonSecure = 12,</t>
  </si>
  <si>
    <t xml:space="preserve">        eCommerceNonSecure = 13,</t>
  </si>
  <si>
    <t xml:space="preserve">        FallbackToPaper = 20,</t>
  </si>
  <si>
    <t>OnlineChip = 1,</t>
  </si>
  <si>
    <t>OnlineChip</t>
  </si>
  <si>
    <t>magneticStripe</t>
  </si>
  <si>
    <t>MOTOsecure</t>
  </si>
  <si>
    <t>OfflineChip</t>
  </si>
  <si>
    <t>PANKeyEntry</t>
  </si>
  <si>
    <t>OfflinePin</t>
  </si>
  <si>
    <t>InteractiveVoice</t>
  </si>
  <si>
    <t>MOTONonSecure</t>
  </si>
  <si>
    <t>eCommerceNonSecure</t>
  </si>
  <si>
    <t>FallbackToPaper</t>
  </si>
  <si>
    <t>MD</t>
  </si>
  <si>
    <t>VC</t>
  </si>
  <si>
    <t>VD</t>
  </si>
  <si>
    <t>P</t>
  </si>
  <si>
    <t>R</t>
  </si>
  <si>
    <t>PRMDC013</t>
  </si>
  <si>
    <t>Prem Auth</t>
  </si>
  <si>
    <t>Prem Locality</t>
  </si>
  <si>
    <t>Electronic AUTH PPI</t>
  </si>
  <si>
    <t>Misscellaneous</t>
  </si>
  <si>
    <t>Card Porcessed</t>
  </si>
  <si>
    <t>NULL</t>
  </si>
  <si>
    <t xml:space="preserve"> </t>
  </si>
  <si>
    <t>CA_PPI</t>
  </si>
  <si>
    <t>CA_PPC</t>
  </si>
  <si>
    <t>CA_Amount</t>
  </si>
  <si>
    <t>CA_Chrg</t>
  </si>
  <si>
    <t>CARDS ACQUIRED</t>
  </si>
  <si>
    <t>Visa Business=Cash Advance/1!0.01567</t>
  </si>
  <si>
    <t>Visa Business=Refund/1.5!-0.01567</t>
  </si>
  <si>
    <t xml:space="preserve">nr of txn </t>
  </si>
  <si>
    <t>unique values</t>
  </si>
  <si>
    <t>CHRG</t>
  </si>
  <si>
    <t>concatenarea valorilor</t>
  </si>
  <si>
    <t>FUND</t>
  </si>
  <si>
    <t>Visa Business  -</t>
  </si>
  <si>
    <t>Visa Dr Per Int  -</t>
  </si>
  <si>
    <t>Maestro UK (DOM) Com  -</t>
  </si>
  <si>
    <t>Visa Corporate  -</t>
  </si>
  <si>
    <t>Scheme Product &amp; TxnType</t>
  </si>
  <si>
    <t>MasterCard Debit-Refund-eCommerceNonSecure</t>
  </si>
  <si>
    <t>Capture Methode</t>
  </si>
  <si>
    <t>Visa Credit-Refund-Contactless=1.7/-0.0177</t>
  </si>
  <si>
    <t>Visa Credit-Purchase-magnetic stripe=1.6/0.0177</t>
  </si>
  <si>
    <t>Visa Credit-Refund-magnetic stripe=1.7/-0.0177</t>
  </si>
  <si>
    <t>Premium Authorisation</t>
  </si>
  <si>
    <t>PAU_PPI</t>
  </si>
  <si>
    <t>PAU_PPC</t>
  </si>
  <si>
    <t>PAU_Chrg</t>
  </si>
  <si>
    <t>MasterCard Debit-Purchase-NotAuthorised=1.6/0.0177</t>
  </si>
  <si>
    <t>Visa Credit-Refund-NotAuthorised=1.7/-0.0177</t>
  </si>
  <si>
    <t>Premium Locality</t>
  </si>
  <si>
    <t>PL_PPC</t>
  </si>
  <si>
    <t>PL_Chrg</t>
  </si>
  <si>
    <t>PL_PPI</t>
  </si>
  <si>
    <t>Visa Credit-Refund-Intra-regional=1.77/-0.0177</t>
  </si>
  <si>
    <t>Visa Credit-Purchase-Intra-regional=1.66/0.0177</t>
  </si>
  <si>
    <t>Visa Debit-Purchase-Intra-regional=1.66/0.0177</t>
  </si>
  <si>
    <t>MasterCard Debit-Refund-Intra-regional=1.77/-0.0177</t>
  </si>
  <si>
    <t>MasterCard Debit-Purchase-Domestic=1.66/0.0177</t>
  </si>
  <si>
    <t>MasterCard Debit-Refund-Inter-regional=1.77/-0.0177</t>
  </si>
  <si>
    <t>MasterCard Debit-Purchase-Intra-regional=1.66/0.0177</t>
  </si>
  <si>
    <t>MasterCard Debit-Refund-Domestic=1.77/-0.0177</t>
  </si>
  <si>
    <t>Visa Credit-Purchase-Domestic=1.66/0.0177</t>
  </si>
  <si>
    <t>Visa Credit-Purchase-Inter-regional=1.66/0.0177</t>
  </si>
  <si>
    <t>Visa Debit-Purchase-Domestic=1.66/0.0177</t>
  </si>
  <si>
    <t>Visa Debit-Purchase-Inter-regional=1.66/0.0177</t>
  </si>
  <si>
    <t>Visa Debit-Refund-Intra-regional=1.77/-0.0177</t>
  </si>
  <si>
    <t>Visa Credit-Refund-Domestic=1.77/-0.0177</t>
  </si>
  <si>
    <t>CARD PROCESSED</t>
  </si>
  <si>
    <t>CP_PPI</t>
  </si>
  <si>
    <t>CP_PPC</t>
  </si>
  <si>
    <t>CP_Chrg</t>
  </si>
  <si>
    <t>TxnType</t>
  </si>
  <si>
    <t>Diners Club/Discover=Purchase+3.167!0.0167</t>
  </si>
  <si>
    <t>American Express=Purchase+3.15!0.0167</t>
  </si>
  <si>
    <t xml:space="preserve">American Express - </t>
  </si>
  <si>
    <t xml:space="preserve">Diners Club/Discover - </t>
  </si>
  <si>
    <t>sum</t>
  </si>
  <si>
    <t>Visa-AUTH!2.123</t>
  </si>
  <si>
    <t>Diners-AUTH!2.123</t>
  </si>
  <si>
    <t>invoice_Event_ID</t>
  </si>
  <si>
    <t>Factura Nr: 2</t>
  </si>
  <si>
    <t>Detaliere costuri</t>
  </si>
  <si>
    <t>Nume Comerciant:</t>
  </si>
  <si>
    <t>Perioada facturarii:</t>
  </si>
  <si>
    <t xml:space="preserve">Data emiterii facturarii: </t>
  </si>
  <si>
    <t>Sumar factura</t>
  </si>
  <si>
    <t>Sume</t>
  </si>
  <si>
    <t xml:space="preserve">Cost tranzactii: Cards Acquired </t>
  </si>
  <si>
    <t xml:space="preserve">Cost tranzactii: Cards Processed (tva%) </t>
  </si>
  <si>
    <t xml:space="preserve">Cost tranzactii: Premium </t>
  </si>
  <si>
    <t xml:space="preserve">Cost tranzactii: Miscellaneous (tva%) </t>
  </si>
  <si>
    <t xml:space="preserve">Total factura curenta fara TVA: </t>
  </si>
  <si>
    <t xml:space="preserve">TVA 20% </t>
  </si>
  <si>
    <t xml:space="preserve">Grand Total: </t>
  </si>
  <si>
    <t>Cards Acquired</t>
  </si>
  <si>
    <t>Premium</t>
  </si>
  <si>
    <t>Card Processd</t>
  </si>
  <si>
    <t>XXX</t>
  </si>
  <si>
    <t>Tessco</t>
  </si>
  <si>
    <t>AMEX-AUTH!2.123</t>
  </si>
  <si>
    <t>Total Cards Acquired</t>
  </si>
  <si>
    <t>Card Processed</t>
  </si>
  <si>
    <t>Total Cards Processed</t>
  </si>
  <si>
    <t>Total Premium</t>
  </si>
  <si>
    <t>Total Misscellaneous</t>
  </si>
  <si>
    <t>Visa Business=OCT/2!-0.01567</t>
  </si>
  <si>
    <t>Visa Debit-Refund-magnetic stripe=1.7/-0.0177</t>
  </si>
  <si>
    <t>Visa Debit-Refund-NotAuthorised=1.7/-0.0177</t>
  </si>
  <si>
    <t>Maestro UK (DOM) Com=Cash Advance/1!0.01567</t>
  </si>
  <si>
    <t>MasterCard Debit-Purchase-magnetic stripe=1.6/0.0177</t>
  </si>
  <si>
    <t>Visa Corporate=PWCB/2.02!0.01567</t>
  </si>
  <si>
    <t>net</t>
  </si>
  <si>
    <t>xlx</t>
  </si>
  <si>
    <t>null</t>
  </si>
  <si>
    <t>Visa Dr Per Int=Refund/1.5!-0.01567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</si>
</sst>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%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</font>
    <font>
      <b/>
      <sz val="14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89">
    <xf numFmtId="0" fontId="0" fillId="0" borderId="0" xfId="0"/>
    <xf numFmtId="0" fontId="2" fillId="0" borderId="1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vertical="center" wrapText="1"/>
    </xf>
    <xf numFmtId="0" fontId="0" fillId="3" borderId="1" xfId="0" applyFill="1" applyBorder="1"/>
    <xf numFmtId="0" fontId="0" fillId="0" borderId="1" xfId="0" applyBorder="1"/>
    <xf numFmtId="0" fontId="2" fillId="0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wrapText="1"/>
    </xf>
    <xf numFmtId="0" fontId="0" fillId="4" borderId="1" xfId="0" applyFill="1" applyBorder="1" applyAlignment="1"/>
    <xf numFmtId="0" fontId="3" fillId="0" borderId="1" xfId="0" applyFont="1" applyBorder="1" applyAlignment="1">
      <alignment vertical="center" wrapText="1"/>
    </xf>
    <xf numFmtId="0" fontId="0" fillId="2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5" borderId="1" xfId="0" applyFill="1" applyBorder="1"/>
    <xf numFmtId="0" fontId="0" fillId="4" borderId="1" xfId="0" applyFill="1" applyBorder="1" applyAlignment="1">
      <alignment vertical="center"/>
    </xf>
    <xf numFmtId="0" fontId="0" fillId="0" borderId="2" xfId="0" applyBorder="1"/>
    <xf numFmtId="0" fontId="5" fillId="4" borderId="3" xfId="0" applyFont="1" applyFill="1" applyBorder="1" applyAlignment="1">
      <alignment vertical="center"/>
    </xf>
    <xf numFmtId="0" fontId="0" fillId="6" borderId="1" xfId="0" applyFill="1" applyBorder="1"/>
    <xf numFmtId="0" fontId="0" fillId="7" borderId="1" xfId="0" applyFill="1" applyBorder="1"/>
    <xf numFmtId="164" fontId="0" fillId="5" borderId="1" xfId="1" applyNumberFormat="1" applyFont="1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10" fontId="0" fillId="5" borderId="1" xfId="1" applyNumberFormat="1" applyFont="1" applyFill="1" applyBorder="1" applyAlignment="1">
      <alignment horizontal="right"/>
    </xf>
    <xf numFmtId="0" fontId="0" fillId="0" borderId="0" xfId="0" applyBorder="1"/>
    <xf numFmtId="0" fontId="1" fillId="0" borderId="1" xfId="0" applyFont="1" applyBorder="1"/>
    <xf numFmtId="0" fontId="2" fillId="0" borderId="1" xfId="0" applyFont="1" applyBorder="1" applyAlignment="1">
      <alignment vertical="center" wrapText="1"/>
    </xf>
    <xf numFmtId="0" fontId="2" fillId="7" borderId="1" xfId="0" applyFont="1" applyFill="1" applyBorder="1" applyAlignment="1">
      <alignment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0" fillId="9" borderId="0" xfId="0" applyFill="1"/>
    <xf numFmtId="0" fontId="6" fillId="3" borderId="1" xfId="0" applyFont="1" applyFill="1" applyBorder="1" applyAlignment="1">
      <alignment horizontal="center" vertical="center" wrapText="1"/>
    </xf>
    <xf numFmtId="0" fontId="5" fillId="4" borderId="0" xfId="0" applyFont="1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10" borderId="0" xfId="0" applyFill="1"/>
    <xf numFmtId="0" fontId="0" fillId="11" borderId="1" xfId="0" applyFill="1" applyBorder="1" applyAlignment="1">
      <alignment horizontal="center"/>
    </xf>
    <xf numFmtId="0" fontId="1" fillId="11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9" fontId="0" fillId="11" borderId="1" xfId="1" applyFont="1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10" fontId="0" fillId="0" borderId="0" xfId="1" applyNumberFormat="1" applyFont="1" applyAlignment="1">
      <alignment vertical="center" wrapText="1"/>
    </xf>
    <xf numFmtId="10" fontId="0" fillId="0" borderId="0" xfId="0" applyNumberFormat="1"/>
    <xf numFmtId="0" fontId="0" fillId="0" borderId="1" xfId="0" applyFill="1" applyBorder="1"/>
    <xf numFmtId="0" fontId="0" fillId="2" borderId="1" xfId="0" applyFill="1" applyBorder="1"/>
    <xf numFmtId="49" fontId="0" fillId="0" borderId="0" xfId="0" applyNumberFormat="1"/>
    <xf numFmtId="0" fontId="0" fillId="4" borderId="1" xfId="0" applyNumberFormat="1" applyFill="1" applyBorder="1" applyAlignment="1"/>
    <xf numFmtId="0" fontId="0" fillId="0" borderId="1" xfId="0" applyNumberFormat="1" applyBorder="1"/>
    <xf numFmtId="0" fontId="0" fillId="0" borderId="0" xfId="0" applyNumberFormat="1"/>
    <xf numFmtId="0" fontId="1" fillId="2" borderId="7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 wrapText="1"/>
    </xf>
    <xf numFmtId="0" fontId="1" fillId="2" borderId="8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2" borderId="10" xfId="0" applyFont="1" applyFill="1" applyBorder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2" borderId="8" xfId="0" applyFont="1" applyFill="1" applyBorder="1" applyAlignment="1">
      <alignment horizontal="right"/>
    </xf>
    <xf numFmtId="0" fontId="1" fillId="2" borderId="0" xfId="0" applyFont="1" applyFill="1" applyBorder="1" applyAlignment="1">
      <alignment horizontal="center"/>
    </xf>
    <xf numFmtId="0" fontId="0" fillId="0" borderId="7" xfId="0" applyBorder="1"/>
    <xf numFmtId="0" fontId="0" fillId="0" borderId="1" xfId="0" applyBorder="1" applyAlignment="1">
      <alignment horizontal="center"/>
    </xf>
    <xf numFmtId="0" fontId="8" fillId="2" borderId="8" xfId="0" applyFont="1" applyFill="1" applyBorder="1" applyAlignment="1">
      <alignment horizontal="right"/>
    </xf>
    <xf numFmtId="0" fontId="9" fillId="10" borderId="0" xfId="0" applyFont="1" applyFill="1" applyAlignment="1">
      <alignment horizontal="right"/>
    </xf>
    <xf numFmtId="0" fontId="9" fillId="0" borderId="0" xfId="0" applyFont="1" applyAlignment="1">
      <alignment horizontal="right"/>
    </xf>
    <xf numFmtId="0" fontId="10" fillId="0" borderId="0" xfId="0" applyFont="1"/>
    <xf numFmtId="0" fontId="10" fillId="4" borderId="0" xfId="0" applyFont="1" applyFill="1"/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/>
    </xf>
    <xf numFmtId="2" fontId="0" fillId="0" borderId="0" xfId="0" applyNumberFormat="1"/>
    <xf numFmtId="0" fontId="10" fillId="0" borderId="1" xfId="0" applyFont="1" applyBorder="1" applyAlignment="1"/>
    <xf numFmtId="0" fontId="0" fillId="0" borderId="1" xfId="0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11" fillId="0" borderId="1" xfId="0" applyFont="1" applyBorder="1" applyAlignment="1"/>
    <xf numFmtId="0" fontId="11" fillId="0" borderId="0" xfId="0" applyFont="1"/>
    <xf numFmtId="0" fontId="0" fillId="0" borderId="11" xfId="0" applyBorder="1"/>
    <xf numFmtId="0" fontId="0" fillId="0" borderId="13" xfId="0" applyBorder="1"/>
    <xf numFmtId="0" fontId="1" fillId="0" borderId="17" xfId="0" applyFont="1" applyBorder="1"/>
    <xf numFmtId="0" fontId="0" fillId="0" borderId="18" xfId="0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9" xfId="0" applyBorder="1" applyAlignment="1">
      <alignment horizontal="left"/>
    </xf>
    <xf numFmtId="0" fontId="1" fillId="0" borderId="14" xfId="0" applyFont="1" applyBorder="1" applyAlignment="1">
      <alignment horizontal="left"/>
    </xf>
    <xf numFmtId="0" fontId="1" fillId="0" borderId="15" xfId="0" applyFont="1" applyBorder="1" applyAlignment="1">
      <alignment horizontal="left"/>
    </xf>
    <xf numFmtId="0" fontId="1" fillId="0" borderId="16" xfId="0" applyFont="1" applyBorder="1" applyAlignment="1">
      <alignment horizontal="left"/>
    </xf>
  </cellXfs>
  <cellStyles count="2">
    <cellStyle name="Normal" xfId="0" builtinId="0"/>
    <cellStyle name="Percent" xfId="1" builtinId="5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68580</xdr:colOff>
          <xdr:row>0</xdr:row>
          <xdr:rowOff>60960</xdr:rowOff>
        </xdr:from>
        <xdr:to>
          <xdr:col>24</xdr:col>
          <xdr:colOff>213360</xdr:colOff>
          <xdr:row>1</xdr:row>
          <xdr:rowOff>213360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Pricing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548640</xdr:colOff>
          <xdr:row>0</xdr:row>
          <xdr:rowOff>38100</xdr:rowOff>
        </xdr:from>
        <xdr:to>
          <xdr:col>20</xdr:col>
          <xdr:colOff>495300</xdr:colOff>
          <xdr:row>1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533400</xdr:colOff>
          <xdr:row>0</xdr:row>
          <xdr:rowOff>68580</xdr:rowOff>
        </xdr:from>
        <xdr:to>
          <xdr:col>27</xdr:col>
          <xdr:colOff>0</xdr:colOff>
          <xdr:row>1</xdr:row>
          <xdr:rowOff>175260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invoicing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533400</xdr:colOff>
          <xdr:row>0</xdr:row>
          <xdr:rowOff>68580</xdr:rowOff>
        </xdr:from>
        <xdr:to>
          <xdr:col>31</xdr:col>
          <xdr:colOff>175260</xdr:colOff>
          <xdr:row>1</xdr:row>
          <xdr:rowOff>175260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invoicing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396240</xdr:colOff>
          <xdr:row>0</xdr:row>
          <xdr:rowOff>38100</xdr:rowOff>
        </xdr:from>
        <xdr:to>
          <xdr:col>7</xdr:col>
          <xdr:colOff>510540</xdr:colOff>
          <xdr:row>1</xdr:row>
          <xdr:rowOff>129540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0</xdr:row>
          <xdr:rowOff>22860</xdr:rowOff>
        </xdr:from>
        <xdr:to>
          <xdr:col>8</xdr:col>
          <xdr:colOff>1524000</xdr:colOff>
          <xdr:row>1</xdr:row>
          <xdr:rowOff>129540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7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Pricing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1645920</xdr:colOff>
          <xdr:row>0</xdr:row>
          <xdr:rowOff>22860</xdr:rowOff>
        </xdr:from>
        <xdr:to>
          <xdr:col>9</xdr:col>
          <xdr:colOff>365760</xdr:colOff>
          <xdr:row>1</xdr:row>
          <xdr:rowOff>129540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7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invoicing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236220</xdr:colOff>
          <xdr:row>0</xdr:row>
          <xdr:rowOff>22860</xdr:rowOff>
        </xdr:from>
        <xdr:to>
          <xdr:col>6</xdr:col>
          <xdr:colOff>137160</xdr:colOff>
          <xdr:row>1</xdr:row>
          <xdr:rowOff>121920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invoicing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R103"/>
  <sheetViews>
    <sheetView workbookViewId="0">
      <selection activeCell="E21" sqref="E21"/>
    </sheetView>
  </sheetViews>
  <sheetFormatPr defaultRowHeight="14.4" x14ac:dyDescent="0.3"/>
  <cols>
    <col min="1" max="1" width="14" bestFit="1" customWidth="1"/>
    <col min="2" max="2" width="12.88671875" bestFit="1" customWidth="1"/>
    <col min="4" max="4" width="15.44140625" bestFit="1" customWidth="1"/>
    <col min="5" max="5" width="18.5546875" bestFit="1" customWidth="1"/>
    <col min="7" max="7" width="24.109375" bestFit="1" customWidth="1"/>
    <col min="8" max="8" width="15.5546875" bestFit="1" customWidth="1"/>
    <col min="16" max="16" width="18.77734375" bestFit="1" customWidth="1"/>
    <col min="18" max="18" width="8.88671875" style="45"/>
  </cols>
  <sheetData>
    <row r="1" spans="1:16" x14ac:dyDescent="0.3">
      <c r="A1" s="9" t="s">
        <v>0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</row>
    <row r="2" spans="1:16" x14ac:dyDescent="0.3">
      <c r="A2" s="9" t="s">
        <v>0</v>
      </c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</row>
    <row r="3" spans="1:16" x14ac:dyDescent="0.3">
      <c r="A3" s="10" t="s">
        <v>1</v>
      </c>
      <c r="B3" s="10" t="s">
        <v>2</v>
      </c>
      <c r="C3" s="10" t="s">
        <v>99</v>
      </c>
      <c r="D3" s="10" t="s">
        <v>100</v>
      </c>
      <c r="E3" s="10" t="s">
        <v>101</v>
      </c>
      <c r="F3" s="10" t="s">
        <v>3</v>
      </c>
      <c r="G3" s="10" t="s">
        <v>102</v>
      </c>
      <c r="H3" s="10" t="s">
        <v>103</v>
      </c>
      <c r="I3" s="10" t="s">
        <v>104</v>
      </c>
      <c r="J3" s="10" t="s">
        <v>741</v>
      </c>
      <c r="K3" s="10" t="s">
        <v>742</v>
      </c>
      <c r="L3" s="10" t="s">
        <v>744</v>
      </c>
      <c r="M3" s="10" t="s">
        <v>745</v>
      </c>
      <c r="N3" s="10" t="s">
        <v>746</v>
      </c>
      <c r="O3" s="10" t="s">
        <v>747</v>
      </c>
      <c r="P3" s="10" t="s">
        <v>750</v>
      </c>
    </row>
    <row r="4" spans="1:16" x14ac:dyDescent="0.3">
      <c r="A4" s="38" t="s">
        <v>765</v>
      </c>
      <c r="B4" s="38">
        <v>10001</v>
      </c>
      <c r="C4" s="38">
        <v>454</v>
      </c>
      <c r="D4" s="38">
        <v>10</v>
      </c>
      <c r="E4" s="38" t="s">
        <v>129</v>
      </c>
      <c r="F4" s="38" t="s">
        <v>77</v>
      </c>
      <c r="G4" s="38" t="s">
        <v>129</v>
      </c>
      <c r="H4" s="38">
        <v>7</v>
      </c>
      <c r="I4" s="38">
        <v>66</v>
      </c>
      <c r="J4" s="38" t="s">
        <v>735</v>
      </c>
      <c r="K4" s="38"/>
      <c r="L4" s="38" t="s">
        <v>748</v>
      </c>
      <c r="M4" s="38">
        <v>0.75600000000000001</v>
      </c>
      <c r="N4" s="38">
        <v>0.72299999999999998</v>
      </c>
      <c r="O4" s="38" t="s">
        <v>748</v>
      </c>
      <c r="P4" s="65">
        <v>43921.647569444445</v>
      </c>
    </row>
    <row r="5" spans="1:16" ht="28.8" x14ac:dyDescent="0.3">
      <c r="A5" s="38" t="s">
        <v>765</v>
      </c>
      <c r="B5" s="38">
        <v>110001</v>
      </c>
      <c r="C5" s="38">
        <v>454</v>
      </c>
      <c r="D5" s="38">
        <v>10</v>
      </c>
      <c r="E5" s="38" t="s">
        <v>1228</v>
      </c>
      <c r="F5" s="38" t="s">
        <v>77</v>
      </c>
      <c r="G5" s="38" t="s">
        <v>1228</v>
      </c>
      <c r="H5" s="38">
        <v>7</v>
      </c>
      <c r="I5" s="38" t="s">
        <v>1228</v>
      </c>
      <c r="J5" s="38" t="s">
        <v>735</v>
      </c>
      <c r="K5" s="38" t="s">
        <v>743</v>
      </c>
      <c r="L5" s="38" t="s">
        <v>748</v>
      </c>
      <c r="M5" s="38">
        <v>0.75600000000000001</v>
      </c>
      <c r="N5" s="38">
        <v>0.72299999999999998</v>
      </c>
      <c r="O5" s="38" t="s">
        <v>748</v>
      </c>
      <c r="P5" s="65">
        <v>43921.647569444445</v>
      </c>
    </row>
    <row r="6" spans="1:16" x14ac:dyDescent="0.3">
      <c r="A6" s="38" t="s">
        <v>765</v>
      </c>
      <c r="B6" s="38">
        <v>1000973</v>
      </c>
      <c r="C6" s="38">
        <v>5882</v>
      </c>
      <c r="D6" s="38">
        <v>0</v>
      </c>
      <c r="E6" s="38" t="s">
        <v>130</v>
      </c>
      <c r="F6" s="38" t="s">
        <v>53</v>
      </c>
      <c r="G6" s="38" t="s">
        <v>130</v>
      </c>
      <c r="H6" s="38">
        <v>7</v>
      </c>
      <c r="I6" s="38">
        <v>77</v>
      </c>
      <c r="J6" s="38" t="s">
        <v>737</v>
      </c>
      <c r="K6" s="38"/>
      <c r="L6" s="38" t="s">
        <v>748</v>
      </c>
      <c r="M6" s="38">
        <v>0.75600000000000001</v>
      </c>
      <c r="N6" s="38">
        <v>0.72299999999999998</v>
      </c>
      <c r="O6" s="38" t="s">
        <v>748</v>
      </c>
      <c r="P6" s="65">
        <v>43921.688275462962</v>
      </c>
    </row>
    <row r="7" spans="1:16" x14ac:dyDescent="0.3">
      <c r="A7" s="38" t="s">
        <v>765</v>
      </c>
      <c r="B7" s="38">
        <v>1000974</v>
      </c>
      <c r="C7" s="38">
        <v>5882</v>
      </c>
      <c r="D7" s="38">
        <v>0</v>
      </c>
      <c r="E7" s="38" t="s">
        <v>130</v>
      </c>
      <c r="F7" s="38" t="s">
        <v>89</v>
      </c>
      <c r="G7" s="38" t="s">
        <v>130</v>
      </c>
      <c r="H7" s="38">
        <v>7</v>
      </c>
      <c r="I7" s="38">
        <v>77</v>
      </c>
      <c r="J7" s="38" t="s">
        <v>540</v>
      </c>
      <c r="K7" s="38"/>
      <c r="L7" s="38" t="s">
        <v>748</v>
      </c>
      <c r="M7" s="38">
        <v>0.75600000000000001</v>
      </c>
      <c r="N7" s="38">
        <v>0.72299999999999998</v>
      </c>
      <c r="O7" s="38" t="s">
        <v>748</v>
      </c>
      <c r="P7" s="65">
        <v>43921.688275462962</v>
      </c>
    </row>
    <row r="8" spans="1:16" x14ac:dyDescent="0.3">
      <c r="A8" s="38" t="s">
        <v>765</v>
      </c>
      <c r="B8" s="38">
        <v>1000975</v>
      </c>
      <c r="C8" s="38">
        <v>5882</v>
      </c>
      <c r="D8" s="38">
        <v>0</v>
      </c>
      <c r="E8" s="38" t="s">
        <v>130</v>
      </c>
      <c r="F8" s="38" t="s">
        <v>89</v>
      </c>
      <c r="G8" s="38" t="s">
        <v>129</v>
      </c>
      <c r="H8" s="38">
        <v>7</v>
      </c>
      <c r="I8" s="38">
        <v>77</v>
      </c>
      <c r="J8" s="38" t="s">
        <v>540</v>
      </c>
      <c r="K8" s="38"/>
      <c r="L8" s="38" t="s">
        <v>748</v>
      </c>
      <c r="M8" s="38">
        <v>0.75600000000000001</v>
      </c>
      <c r="N8" s="38">
        <v>0.72299999999999998</v>
      </c>
      <c r="O8" s="38" t="s">
        <v>748</v>
      </c>
      <c r="P8" s="65">
        <v>43921.688275462962</v>
      </c>
    </row>
    <row r="9" spans="1:16" ht="28.8" x14ac:dyDescent="0.3">
      <c r="A9" s="38" t="s">
        <v>765</v>
      </c>
      <c r="B9" s="38">
        <v>11000975</v>
      </c>
      <c r="C9" s="38">
        <v>5882</v>
      </c>
      <c r="D9" s="38">
        <v>0</v>
      </c>
      <c r="E9" s="38" t="s">
        <v>1228</v>
      </c>
      <c r="F9" s="38" t="s">
        <v>89</v>
      </c>
      <c r="G9" s="38" t="s">
        <v>1228</v>
      </c>
      <c r="H9" s="38">
        <v>7</v>
      </c>
      <c r="I9" s="38" t="s">
        <v>1228</v>
      </c>
      <c r="J9" s="38" t="s">
        <v>540</v>
      </c>
      <c r="K9" s="38" t="s">
        <v>743</v>
      </c>
      <c r="L9" s="38" t="s">
        <v>748</v>
      </c>
      <c r="M9" s="38">
        <v>0.75600000000000001</v>
      </c>
      <c r="N9" s="38">
        <v>0.72299999999999998</v>
      </c>
      <c r="O9" s="38" t="s">
        <v>748</v>
      </c>
      <c r="P9" s="65">
        <v>43921.688275462962</v>
      </c>
    </row>
    <row r="10" spans="1:16" x14ac:dyDescent="0.3">
      <c r="A10" s="38" t="s">
        <v>765</v>
      </c>
      <c r="B10" s="38">
        <v>1000977</v>
      </c>
      <c r="C10" s="38">
        <v>588554</v>
      </c>
      <c r="D10" s="38">
        <v>0</v>
      </c>
      <c r="E10" s="38" t="s">
        <v>130</v>
      </c>
      <c r="F10" s="38" t="s">
        <v>53</v>
      </c>
      <c r="G10" s="38" t="s">
        <v>129</v>
      </c>
      <c r="H10" s="38">
        <v>2</v>
      </c>
      <c r="I10" s="38">
        <v>77</v>
      </c>
      <c r="J10" s="38" t="s">
        <v>737</v>
      </c>
      <c r="K10" s="38"/>
      <c r="L10" s="38" t="s">
        <v>748</v>
      </c>
      <c r="M10" s="38">
        <v>0.75600000000000001</v>
      </c>
      <c r="N10" s="38">
        <v>0.72299999999999998</v>
      </c>
      <c r="O10" s="38" t="s">
        <v>748</v>
      </c>
      <c r="P10" s="65">
        <v>43921.688275462962</v>
      </c>
    </row>
    <row r="11" spans="1:16" ht="28.8" x14ac:dyDescent="0.3">
      <c r="A11" s="38" t="s">
        <v>765</v>
      </c>
      <c r="B11" s="38">
        <v>11000977</v>
      </c>
      <c r="C11" s="38">
        <v>588554</v>
      </c>
      <c r="D11" s="38">
        <v>0</v>
      </c>
      <c r="E11" s="38" t="s">
        <v>1228</v>
      </c>
      <c r="F11" s="38" t="s">
        <v>53</v>
      </c>
      <c r="G11" s="38" t="s">
        <v>1228</v>
      </c>
      <c r="H11" s="38">
        <v>2</v>
      </c>
      <c r="I11" s="38" t="s">
        <v>1228</v>
      </c>
      <c r="J11" s="38" t="s">
        <v>737</v>
      </c>
      <c r="K11" s="38" t="s">
        <v>743</v>
      </c>
      <c r="L11" s="38" t="s">
        <v>748</v>
      </c>
      <c r="M11" s="38">
        <v>0.75600000000000001</v>
      </c>
      <c r="N11" s="38">
        <v>0.72299999999999998</v>
      </c>
      <c r="O11" s="38" t="s">
        <v>748</v>
      </c>
      <c r="P11" s="65">
        <v>43921.688275462962</v>
      </c>
    </row>
    <row r="12" spans="1:16" x14ac:dyDescent="0.3">
      <c r="A12" s="38" t="s">
        <v>765</v>
      </c>
      <c r="B12" s="38">
        <v>1000979</v>
      </c>
      <c r="C12" s="38">
        <v>588554</v>
      </c>
      <c r="D12" s="38">
        <v>0</v>
      </c>
      <c r="E12" s="38" t="s">
        <v>130</v>
      </c>
      <c r="F12" s="38" t="s">
        <v>53</v>
      </c>
      <c r="G12" s="38" t="s">
        <v>129</v>
      </c>
      <c r="H12" s="38">
        <v>2</v>
      </c>
      <c r="I12" s="38">
        <v>55</v>
      </c>
      <c r="J12" s="38" t="s">
        <v>737</v>
      </c>
      <c r="K12" s="38"/>
      <c r="L12" s="38" t="s">
        <v>748</v>
      </c>
      <c r="M12" s="38">
        <v>0.75600000000000001</v>
      </c>
      <c r="N12" s="38">
        <v>0.72299999999999998</v>
      </c>
      <c r="O12" s="38" t="s">
        <v>748</v>
      </c>
      <c r="P12" s="65">
        <v>43921.688275462962</v>
      </c>
    </row>
    <row r="13" spans="1:16" ht="28.8" x14ac:dyDescent="0.3">
      <c r="A13" s="38" t="s">
        <v>765</v>
      </c>
      <c r="B13" s="38">
        <v>11000979</v>
      </c>
      <c r="C13" s="38">
        <v>588554</v>
      </c>
      <c r="D13" s="38">
        <v>0</v>
      </c>
      <c r="E13" s="38" t="s">
        <v>1228</v>
      </c>
      <c r="F13" s="38" t="s">
        <v>53</v>
      </c>
      <c r="G13" s="38" t="s">
        <v>1228</v>
      </c>
      <c r="H13" s="38">
        <v>2</v>
      </c>
      <c r="I13" s="38" t="s">
        <v>1228</v>
      </c>
      <c r="J13" s="38" t="s">
        <v>737</v>
      </c>
      <c r="K13" s="38" t="s">
        <v>743</v>
      </c>
      <c r="L13" s="38" t="s">
        <v>748</v>
      </c>
      <c r="M13" s="38">
        <v>0.75600000000000001</v>
      </c>
      <c r="N13" s="38">
        <v>0.72299999999999998</v>
      </c>
      <c r="O13" s="38" t="s">
        <v>748</v>
      </c>
      <c r="P13" s="65">
        <v>43921.688275462962</v>
      </c>
    </row>
    <row r="14" spans="1:16" x14ac:dyDescent="0.3">
      <c r="A14" s="38" t="s">
        <v>765</v>
      </c>
      <c r="B14" s="38">
        <v>1000981</v>
      </c>
      <c r="C14" s="38">
        <v>584</v>
      </c>
      <c r="D14" s="38">
        <v>1</v>
      </c>
      <c r="E14" s="38" t="s">
        <v>129</v>
      </c>
      <c r="F14" s="38" t="s">
        <v>77</v>
      </c>
      <c r="G14" s="38" t="s">
        <v>129</v>
      </c>
      <c r="H14" s="38">
        <v>2</v>
      </c>
      <c r="I14" s="38">
        <v>55</v>
      </c>
      <c r="J14" s="38" t="s">
        <v>735</v>
      </c>
      <c r="K14" s="38"/>
      <c r="L14" s="38" t="s">
        <v>748</v>
      </c>
      <c r="M14" s="38">
        <v>0.75600000000000001</v>
      </c>
      <c r="N14" s="38">
        <v>0.72299999999999998</v>
      </c>
      <c r="O14" s="38" t="s">
        <v>748</v>
      </c>
      <c r="P14" s="65">
        <v>43921.688275462962</v>
      </c>
    </row>
    <row r="15" spans="1:16" ht="28.8" x14ac:dyDescent="0.3">
      <c r="A15" s="38" t="s">
        <v>765</v>
      </c>
      <c r="B15" s="38">
        <v>11000981</v>
      </c>
      <c r="C15" s="38">
        <v>584</v>
      </c>
      <c r="D15" s="38">
        <v>1</v>
      </c>
      <c r="E15" s="38" t="s">
        <v>1228</v>
      </c>
      <c r="F15" s="38" t="s">
        <v>77</v>
      </c>
      <c r="G15" s="38" t="s">
        <v>1228</v>
      </c>
      <c r="H15" s="38">
        <v>2</v>
      </c>
      <c r="I15" s="38" t="s">
        <v>1228</v>
      </c>
      <c r="J15" s="38" t="s">
        <v>735</v>
      </c>
      <c r="K15" s="38" t="s">
        <v>743</v>
      </c>
      <c r="L15" s="38" t="s">
        <v>748</v>
      </c>
      <c r="M15" s="38">
        <v>0.75600000000000001</v>
      </c>
      <c r="N15" s="38">
        <v>0.72299999999999998</v>
      </c>
      <c r="O15" s="38" t="s">
        <v>748</v>
      </c>
      <c r="P15" s="65">
        <v>43921.688275462962</v>
      </c>
    </row>
    <row r="16" spans="1:16" x14ac:dyDescent="0.3">
      <c r="A16" s="38" t="s">
        <v>765</v>
      </c>
      <c r="B16" s="38">
        <v>1000983</v>
      </c>
      <c r="C16" s="38">
        <v>584</v>
      </c>
      <c r="D16" s="38">
        <v>11</v>
      </c>
      <c r="E16" s="38" t="s">
        <v>129</v>
      </c>
      <c r="F16" s="38" t="s">
        <v>77</v>
      </c>
      <c r="G16" s="38" t="s">
        <v>129</v>
      </c>
      <c r="H16" s="38">
        <v>2</v>
      </c>
      <c r="I16" s="38">
        <v>55</v>
      </c>
      <c r="J16" s="38" t="s">
        <v>735</v>
      </c>
      <c r="K16" s="38"/>
      <c r="L16" s="38" t="s">
        <v>748</v>
      </c>
      <c r="M16" s="38">
        <v>0.75600000000000001</v>
      </c>
      <c r="N16" s="38">
        <v>0.72299999999999998</v>
      </c>
      <c r="O16" s="38" t="s">
        <v>748</v>
      </c>
      <c r="P16" s="65">
        <v>43921.688275462962</v>
      </c>
    </row>
    <row r="17" spans="1:16" ht="28.8" x14ac:dyDescent="0.3">
      <c r="A17" s="38" t="s">
        <v>765</v>
      </c>
      <c r="B17" s="38">
        <v>11000983</v>
      </c>
      <c r="C17" s="38">
        <v>584</v>
      </c>
      <c r="D17" s="38">
        <v>11</v>
      </c>
      <c r="E17" s="38" t="s">
        <v>1228</v>
      </c>
      <c r="F17" s="38" t="s">
        <v>77</v>
      </c>
      <c r="G17" s="38" t="s">
        <v>1228</v>
      </c>
      <c r="H17" s="38">
        <v>2</v>
      </c>
      <c r="I17" s="38" t="s">
        <v>1228</v>
      </c>
      <c r="J17" s="38" t="s">
        <v>735</v>
      </c>
      <c r="K17" s="38" t="s">
        <v>743</v>
      </c>
      <c r="L17" s="38" t="s">
        <v>748</v>
      </c>
      <c r="M17" s="38">
        <v>0.75600000000000001</v>
      </c>
      <c r="N17" s="38">
        <v>0.72299999999999998</v>
      </c>
      <c r="O17" s="38" t="s">
        <v>748</v>
      </c>
      <c r="P17" s="65">
        <v>43921.688275462962</v>
      </c>
    </row>
    <row r="18" spans="1:16" x14ac:dyDescent="0.3">
      <c r="A18" s="38" t="s">
        <v>765</v>
      </c>
      <c r="B18" s="38">
        <v>1000985</v>
      </c>
      <c r="C18" s="38">
        <v>5814</v>
      </c>
      <c r="D18" s="38">
        <v>12</v>
      </c>
      <c r="E18" s="38" t="s">
        <v>129</v>
      </c>
      <c r="F18" s="38" t="s">
        <v>77</v>
      </c>
      <c r="G18" s="38" t="s">
        <v>129</v>
      </c>
      <c r="H18" s="38">
        <v>2</v>
      </c>
      <c r="I18" s="38">
        <v>55</v>
      </c>
      <c r="J18" s="38" t="s">
        <v>735</v>
      </c>
      <c r="K18" s="38"/>
      <c r="L18" s="38" t="s">
        <v>748</v>
      </c>
      <c r="M18" s="38">
        <v>0.75600000000000001</v>
      </c>
      <c r="N18" s="38">
        <v>0.72299999999999998</v>
      </c>
      <c r="O18" s="38" t="s">
        <v>748</v>
      </c>
      <c r="P18" s="65">
        <v>43921.688275462962</v>
      </c>
    </row>
    <row r="19" spans="1:16" ht="28.8" x14ac:dyDescent="0.3">
      <c r="A19" s="38" t="s">
        <v>765</v>
      </c>
      <c r="B19" s="38">
        <v>11000985</v>
      </c>
      <c r="C19" s="38">
        <v>5814</v>
      </c>
      <c r="D19" s="38">
        <v>12</v>
      </c>
      <c r="E19" s="38" t="s">
        <v>1228</v>
      </c>
      <c r="F19" s="38" t="s">
        <v>77</v>
      </c>
      <c r="G19" s="38" t="s">
        <v>1322</v>
      </c>
      <c r="H19" s="38">
        <v>2</v>
      </c>
      <c r="I19" s="38" t="s">
        <v>1228</v>
      </c>
      <c r="J19" s="38" t="s">
        <v>735</v>
      </c>
      <c r="K19" s="38" t="s">
        <v>743</v>
      </c>
      <c r="L19" s="38" t="s">
        <v>748</v>
      </c>
      <c r="M19" s="38">
        <v>0.75600000000000001</v>
      </c>
      <c r="N19" s="38">
        <v>0.72299999999999998</v>
      </c>
      <c r="O19" s="38" t="s">
        <v>748</v>
      </c>
      <c r="P19" s="65">
        <v>43921.688275462962</v>
      </c>
    </row>
    <row r="20" spans="1:16" x14ac:dyDescent="0.3">
      <c r="A20" s="38" t="s">
        <v>765</v>
      </c>
      <c r="B20" s="38">
        <v>1000987</v>
      </c>
      <c r="C20" s="38">
        <v>5814</v>
      </c>
      <c r="D20" s="38">
        <v>12</v>
      </c>
      <c r="E20" s="38" t="s">
        <v>129</v>
      </c>
      <c r="F20" s="38" t="s">
        <v>77</v>
      </c>
      <c r="G20" s="38" t="s">
        <v>130</v>
      </c>
      <c r="H20" s="38">
        <v>2</v>
      </c>
      <c r="I20" s="38">
        <v>55</v>
      </c>
      <c r="J20" s="38" t="s">
        <v>735</v>
      </c>
      <c r="K20" s="38"/>
      <c r="L20" s="38" t="s">
        <v>748</v>
      </c>
      <c r="M20" s="38">
        <v>0.75600000000000001</v>
      </c>
      <c r="N20" s="38">
        <v>0.72299999999999998</v>
      </c>
      <c r="O20" s="38" t="s">
        <v>748</v>
      </c>
      <c r="P20" s="65">
        <v>43921.688275462962</v>
      </c>
    </row>
    <row r="21" spans="1:16" x14ac:dyDescent="0.3">
      <c r="A21" s="38" t="s">
        <v>765</v>
      </c>
      <c r="B21" s="38">
        <v>1000988</v>
      </c>
      <c r="C21" s="38">
        <v>5814</v>
      </c>
      <c r="D21" s="38">
        <v>12</v>
      </c>
      <c r="E21" s="38" t="s">
        <v>129</v>
      </c>
      <c r="F21" s="38" t="s">
        <v>83</v>
      </c>
      <c r="G21" s="38" t="s">
        <v>130</v>
      </c>
      <c r="H21" s="38">
        <v>2</v>
      </c>
      <c r="I21" s="38">
        <v>55</v>
      </c>
      <c r="J21" s="38" t="s">
        <v>735</v>
      </c>
      <c r="K21" s="38"/>
      <c r="L21" s="38" t="s">
        <v>748</v>
      </c>
      <c r="M21" s="38">
        <v>0.75600000000000001</v>
      </c>
      <c r="N21" s="38">
        <v>0.72299999999999998</v>
      </c>
      <c r="O21" s="38" t="s">
        <v>748</v>
      </c>
      <c r="P21" s="65">
        <v>43921.688275462962</v>
      </c>
    </row>
    <row r="22" spans="1:16" x14ac:dyDescent="0.3">
      <c r="A22" s="38" t="s">
        <v>765</v>
      </c>
      <c r="B22" s="38">
        <v>1000989</v>
      </c>
      <c r="C22" s="38">
        <v>58156</v>
      </c>
      <c r="D22" s="38">
        <v>1</v>
      </c>
      <c r="E22" s="38" t="s">
        <v>129</v>
      </c>
      <c r="F22" s="38" t="s">
        <v>70</v>
      </c>
      <c r="G22" s="38" t="s">
        <v>130</v>
      </c>
      <c r="H22" s="38">
        <v>2</v>
      </c>
      <c r="I22" s="38">
        <v>55</v>
      </c>
      <c r="J22" s="38" t="s">
        <v>734</v>
      </c>
      <c r="K22" s="38"/>
      <c r="L22" s="38" t="s">
        <v>748</v>
      </c>
      <c r="M22" s="38">
        <v>0.75600000000000001</v>
      </c>
      <c r="N22" s="38">
        <v>0.72299999999999998</v>
      </c>
      <c r="O22" s="38" t="s">
        <v>748</v>
      </c>
      <c r="P22" s="65">
        <v>43921.688275462962</v>
      </c>
    </row>
    <row r="23" spans="1:16" x14ac:dyDescent="0.3">
      <c r="A23" s="38" t="s">
        <v>765</v>
      </c>
      <c r="B23" s="38">
        <v>1000990</v>
      </c>
      <c r="C23" s="38">
        <v>585566</v>
      </c>
      <c r="D23" s="38">
        <v>2</v>
      </c>
      <c r="E23" s="38" t="s">
        <v>129</v>
      </c>
      <c r="F23" s="38" t="s">
        <v>79</v>
      </c>
      <c r="G23" s="38" t="s">
        <v>129</v>
      </c>
      <c r="H23" s="38">
        <v>2</v>
      </c>
      <c r="I23" s="38">
        <v>55</v>
      </c>
      <c r="J23" s="38" t="s">
        <v>735</v>
      </c>
      <c r="K23" s="38"/>
      <c r="L23" s="38" t="s">
        <v>748</v>
      </c>
      <c r="M23" s="38">
        <v>0.75600000000000001</v>
      </c>
      <c r="N23" s="38">
        <v>0.72299999999999998</v>
      </c>
      <c r="O23" s="38" t="s">
        <v>748</v>
      </c>
      <c r="P23" s="65">
        <v>43921.688275462962</v>
      </c>
    </row>
    <row r="24" spans="1:16" ht="28.8" x14ac:dyDescent="0.3">
      <c r="A24" s="38" t="s">
        <v>765</v>
      </c>
      <c r="B24" s="38">
        <v>11000990</v>
      </c>
      <c r="C24" s="38">
        <v>585566</v>
      </c>
      <c r="D24" s="38">
        <v>2</v>
      </c>
      <c r="E24" s="38" t="s">
        <v>1228</v>
      </c>
      <c r="F24" s="38" t="s">
        <v>79</v>
      </c>
      <c r="G24" s="38" t="s">
        <v>1228</v>
      </c>
      <c r="H24" s="38">
        <v>2</v>
      </c>
      <c r="I24" s="38" t="s">
        <v>1228</v>
      </c>
      <c r="J24" s="38" t="s">
        <v>735</v>
      </c>
      <c r="K24" s="38" t="s">
        <v>743</v>
      </c>
      <c r="L24" s="38" t="s">
        <v>748</v>
      </c>
      <c r="M24" s="38">
        <v>0.75600000000000001</v>
      </c>
      <c r="N24" s="38">
        <v>0.72299999999999998</v>
      </c>
      <c r="O24" s="38" t="s">
        <v>748</v>
      </c>
      <c r="P24" s="65">
        <v>43921.688275462962</v>
      </c>
    </row>
    <row r="25" spans="1:16" x14ac:dyDescent="0.3">
      <c r="A25" s="38" t="s">
        <v>1228</v>
      </c>
      <c r="B25" s="38" t="s">
        <v>1228</v>
      </c>
      <c r="C25" s="38" t="s">
        <v>1228</v>
      </c>
      <c r="D25" s="38" t="s">
        <v>1228</v>
      </c>
      <c r="E25" s="38" t="s">
        <v>1228</v>
      </c>
      <c r="F25" s="38" t="s">
        <v>1228</v>
      </c>
      <c r="G25" s="38" t="s">
        <v>1228</v>
      </c>
      <c r="H25" s="38" t="s">
        <v>1228</v>
      </c>
      <c r="I25" s="38" t="s">
        <v>1228</v>
      </c>
      <c r="J25" s="38" t="s">
        <v>1228</v>
      </c>
      <c r="K25" s="38" t="s">
        <v>1228</v>
      </c>
      <c r="L25" s="38" t="s">
        <v>1228</v>
      </c>
      <c r="M25" s="38" t="s">
        <v>1228</v>
      </c>
      <c r="N25" s="38" t="s">
        <v>1228</v>
      </c>
      <c r="O25" s="38" t="s">
        <v>1228</v>
      </c>
      <c r="P25" s="38" t="s">
        <v>1228</v>
      </c>
    </row>
    <row r="26" spans="1:16" x14ac:dyDescent="0.3">
      <c r="A26" s="59"/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</row>
    <row r="27" spans="1:16" x14ac:dyDescent="0.3">
      <c r="A27" s="59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</row>
    <row r="28" spans="1:16" x14ac:dyDescent="0.3">
      <c r="A28" s="59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</row>
    <row r="29" spans="1:16" x14ac:dyDescent="0.3">
      <c r="A29" s="59"/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</row>
    <row r="30" spans="1:16" x14ac:dyDescent="0.3">
      <c r="A30" s="59"/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</row>
    <row r="31" spans="1:16" x14ac:dyDescent="0.3">
      <c r="A31" s="59"/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</row>
    <row r="32" spans="1:16" x14ac:dyDescent="0.3">
      <c r="A32" s="59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</row>
    <row r="33" spans="1:16" x14ac:dyDescent="0.3">
      <c r="A33" s="59"/>
      <c r="B33" s="59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</row>
    <row r="34" spans="1:16" x14ac:dyDescent="0.3">
      <c r="A34" s="59"/>
      <c r="B34" s="59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</row>
    <row r="35" spans="1:16" x14ac:dyDescent="0.3">
      <c r="A35" s="59"/>
      <c r="B35" s="59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</row>
    <row r="36" spans="1:16" x14ac:dyDescent="0.3">
      <c r="A36" s="59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</row>
    <row r="37" spans="1:16" x14ac:dyDescent="0.3">
      <c r="A37" s="59"/>
      <c r="B37" s="59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</row>
    <row r="38" spans="1:16" x14ac:dyDescent="0.3">
      <c r="A38" s="59"/>
      <c r="B38" s="59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</row>
    <row r="39" spans="1:16" x14ac:dyDescent="0.3">
      <c r="A39" s="59"/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</row>
    <row r="40" spans="1:16" x14ac:dyDescent="0.3">
      <c r="A40" s="59"/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</row>
    <row r="41" spans="1:16" x14ac:dyDescent="0.3">
      <c r="A41" s="59"/>
      <c r="B41" s="59"/>
      <c r="C41" s="59"/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</row>
    <row r="42" spans="1:16" x14ac:dyDescent="0.3">
      <c r="A42" s="59"/>
      <c r="B42" s="59"/>
      <c r="C42" s="59"/>
      <c r="D42" s="59"/>
      <c r="E42" s="59"/>
      <c r="F42" s="59"/>
      <c r="G42" s="59"/>
      <c r="H42" s="59"/>
      <c r="I42" s="59"/>
      <c r="J42" s="59"/>
      <c r="K42" s="59"/>
      <c r="L42" s="59"/>
      <c r="M42" s="59"/>
      <c r="N42" s="59"/>
      <c r="O42" s="59"/>
      <c r="P42" s="59"/>
    </row>
    <row r="43" spans="1:16" x14ac:dyDescent="0.3">
      <c r="A43" s="59"/>
      <c r="B43" s="59"/>
      <c r="C43" s="59"/>
      <c r="D43" s="59"/>
      <c r="E43" s="59"/>
      <c r="F43" s="59"/>
      <c r="G43" s="59"/>
      <c r="H43" s="59"/>
      <c r="I43" s="59"/>
      <c r="J43" s="59"/>
      <c r="K43" s="59"/>
      <c r="L43" s="59"/>
      <c r="M43" s="59"/>
      <c r="N43" s="59"/>
      <c r="O43" s="59"/>
      <c r="P43" s="59"/>
    </row>
    <row r="44" spans="1:16" x14ac:dyDescent="0.3">
      <c r="A44" s="59"/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59"/>
      <c r="N44" s="59"/>
      <c r="O44" s="59"/>
      <c r="P44" s="59"/>
    </row>
    <row r="45" spans="1:16" x14ac:dyDescent="0.3">
      <c r="A45" s="59"/>
      <c r="B45" s="59"/>
      <c r="C45" s="59"/>
      <c r="D45" s="59"/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</row>
    <row r="46" spans="1:16" x14ac:dyDescent="0.3">
      <c r="A46" s="59"/>
      <c r="B46" s="59"/>
      <c r="C46" s="59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</row>
    <row r="47" spans="1:16" x14ac:dyDescent="0.3">
      <c r="A47" s="59"/>
      <c r="B47" s="59"/>
      <c r="C47" s="59"/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/>
    </row>
    <row r="48" spans="1:16" x14ac:dyDescent="0.3">
      <c r="A48" s="59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</row>
    <row r="49" spans="1:16" x14ac:dyDescent="0.3">
      <c r="A49" s="59"/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</row>
    <row r="50" spans="1:16" x14ac:dyDescent="0.3">
      <c r="A50" s="59"/>
      <c r="B50" s="59"/>
      <c r="C50" s="59"/>
      <c r="D50" s="59"/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9"/>
      <c r="P50" s="59"/>
    </row>
    <row r="51" spans="1:16" x14ac:dyDescent="0.3">
      <c r="A51" s="59"/>
      <c r="B51" s="59"/>
      <c r="C51" s="59"/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</row>
    <row r="52" spans="1:16" x14ac:dyDescent="0.3">
      <c r="A52" s="59"/>
      <c r="B52" s="59"/>
      <c r="C52" s="59"/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</row>
    <row r="53" spans="1:16" x14ac:dyDescent="0.3">
      <c r="A53" s="59"/>
      <c r="B53" s="59"/>
      <c r="C53" s="59"/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</row>
    <row r="54" spans="1:16" x14ac:dyDescent="0.3">
      <c r="A54" s="59"/>
      <c r="B54" s="59"/>
      <c r="C54" s="59"/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</row>
    <row r="55" spans="1:16" x14ac:dyDescent="0.3">
      <c r="A55" s="59"/>
      <c r="B55" s="59"/>
      <c r="C55" s="59"/>
      <c r="D55" s="59"/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/>
    </row>
    <row r="56" spans="1:16" x14ac:dyDescent="0.3">
      <c r="A56" s="59"/>
      <c r="B56" s="59"/>
      <c r="C56" s="59"/>
      <c r="D56" s="59"/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</row>
    <row r="57" spans="1:16" x14ac:dyDescent="0.3">
      <c r="A57" s="59"/>
      <c r="B57" s="59"/>
      <c r="C57" s="59"/>
      <c r="D57" s="59"/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  <c r="P57" s="59"/>
    </row>
    <row r="58" spans="1:16" x14ac:dyDescent="0.3">
      <c r="A58" s="59"/>
      <c r="B58" s="59"/>
      <c r="C58" s="59"/>
      <c r="D58" s="59"/>
      <c r="E58" s="59"/>
      <c r="F58" s="59"/>
      <c r="G58" s="59"/>
      <c r="H58" s="59"/>
      <c r="I58" s="59"/>
      <c r="J58" s="59"/>
      <c r="K58" s="59"/>
      <c r="L58" s="59"/>
      <c r="M58" s="59"/>
      <c r="N58" s="59"/>
      <c r="O58" s="59"/>
      <c r="P58" s="59"/>
    </row>
    <row r="59" spans="1:16" x14ac:dyDescent="0.3">
      <c r="A59" s="59"/>
      <c r="B59" s="59"/>
      <c r="C59" s="59"/>
      <c r="D59" s="59"/>
      <c r="E59" s="59"/>
      <c r="F59" s="59"/>
      <c r="G59" s="59"/>
      <c r="H59" s="59"/>
      <c r="I59" s="59"/>
      <c r="J59" s="59"/>
      <c r="K59" s="59"/>
      <c r="L59" s="59"/>
      <c r="M59" s="59"/>
      <c r="N59" s="59"/>
      <c r="O59" s="59"/>
      <c r="P59" s="59"/>
    </row>
    <row r="60" spans="1:16" x14ac:dyDescent="0.3">
      <c r="A60" s="59"/>
      <c r="B60" s="59"/>
      <c r="C60" s="59"/>
      <c r="D60" s="59"/>
      <c r="E60" s="59"/>
      <c r="F60" s="59"/>
      <c r="G60" s="59"/>
      <c r="H60" s="59"/>
      <c r="I60" s="59"/>
      <c r="J60" s="59"/>
      <c r="K60" s="59"/>
      <c r="L60" s="59"/>
      <c r="M60" s="59"/>
      <c r="N60" s="59"/>
      <c r="O60" s="59"/>
      <c r="P60" s="59"/>
    </row>
    <row r="61" spans="1:16" x14ac:dyDescent="0.3">
      <c r="A61" s="59"/>
      <c r="B61" s="59"/>
      <c r="C61" s="59"/>
      <c r="D61" s="59"/>
      <c r="E61" s="59"/>
      <c r="F61" s="59"/>
      <c r="G61" s="59"/>
      <c r="H61" s="59"/>
      <c r="I61" s="59"/>
      <c r="J61" s="59"/>
      <c r="K61" s="59"/>
      <c r="L61" s="59"/>
      <c r="M61" s="59"/>
      <c r="N61" s="59"/>
      <c r="O61" s="59"/>
      <c r="P61" s="59"/>
    </row>
    <row r="62" spans="1:16" x14ac:dyDescent="0.3">
      <c r="A62" s="59"/>
      <c r="B62" s="59"/>
      <c r="C62" s="59"/>
      <c r="D62" s="59"/>
      <c r="E62" s="59"/>
      <c r="F62" s="59"/>
      <c r="G62" s="59"/>
      <c r="H62" s="59"/>
      <c r="I62" s="59"/>
      <c r="J62" s="59"/>
      <c r="K62" s="59"/>
      <c r="L62" s="59"/>
      <c r="M62" s="59"/>
      <c r="N62" s="59"/>
      <c r="O62" s="59"/>
      <c r="P62" s="59"/>
    </row>
    <row r="63" spans="1:16" x14ac:dyDescent="0.3">
      <c r="A63" s="59"/>
      <c r="B63" s="59"/>
      <c r="C63" s="59"/>
      <c r="D63" s="59"/>
      <c r="E63" s="59"/>
      <c r="F63" s="59"/>
      <c r="G63" s="59"/>
      <c r="H63" s="59"/>
      <c r="I63" s="59"/>
      <c r="J63" s="59"/>
      <c r="K63" s="59"/>
      <c r="L63" s="59"/>
      <c r="M63" s="59"/>
      <c r="N63" s="59"/>
      <c r="O63" s="59"/>
      <c r="P63" s="59"/>
    </row>
    <row r="64" spans="1:16" x14ac:dyDescent="0.3">
      <c r="A64" s="59"/>
      <c r="B64" s="59"/>
      <c r="C64" s="59"/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59"/>
      <c r="O64" s="59"/>
      <c r="P64" s="59"/>
    </row>
    <row r="65" spans="2:16" x14ac:dyDescent="0.3">
      <c r="B65" s="59"/>
      <c r="C65" s="59"/>
      <c r="D65" s="59"/>
      <c r="E65" s="59"/>
      <c r="F65" s="59"/>
      <c r="G65" s="59"/>
      <c r="H65" s="59"/>
      <c r="I65" s="59"/>
      <c r="J65" s="59"/>
      <c r="K65" s="59"/>
      <c r="L65" s="59"/>
      <c r="M65" s="59"/>
      <c r="N65" s="59"/>
      <c r="O65" s="59"/>
      <c r="P65" s="59"/>
    </row>
    <row r="66" spans="2:16" x14ac:dyDescent="0.3">
      <c r="B66" s="59"/>
      <c r="C66" s="59"/>
      <c r="D66" s="59"/>
      <c r="E66" s="59"/>
      <c r="F66" s="59"/>
      <c r="G66" s="59"/>
      <c r="H66" s="59"/>
      <c r="I66" s="59"/>
      <c r="J66" s="59"/>
      <c r="K66" s="59"/>
      <c r="L66" s="59"/>
      <c r="M66" s="59"/>
      <c r="N66" s="59"/>
      <c r="O66" s="59"/>
      <c r="P66" s="59"/>
    </row>
    <row r="67" spans="2:16" x14ac:dyDescent="0.3">
      <c r="B67" s="59"/>
      <c r="C67" s="59"/>
      <c r="D67" s="59"/>
      <c r="E67" s="59"/>
      <c r="F67" s="59"/>
      <c r="G67" s="59"/>
      <c r="H67" s="59"/>
      <c r="I67" s="59"/>
      <c r="J67" s="59"/>
      <c r="K67" s="59"/>
      <c r="L67" s="59"/>
      <c r="M67" s="59"/>
      <c r="N67" s="59"/>
      <c r="O67" s="59"/>
      <c r="P67" s="59"/>
    </row>
    <row r="68" spans="2:16" x14ac:dyDescent="0.3">
      <c r="B68" s="59"/>
      <c r="C68" s="59"/>
      <c r="D68" s="59"/>
      <c r="E68" s="59"/>
      <c r="F68" s="59"/>
      <c r="G68" s="59"/>
      <c r="H68" s="59"/>
      <c r="I68" s="59"/>
      <c r="J68" s="59"/>
      <c r="K68" s="59"/>
      <c r="L68" s="59"/>
      <c r="M68" s="59"/>
      <c r="N68" s="59"/>
      <c r="O68" s="59"/>
      <c r="P68" s="59"/>
    </row>
    <row r="69" spans="2:16" x14ac:dyDescent="0.3">
      <c r="B69" s="59"/>
      <c r="C69" s="59"/>
      <c r="D69" s="59"/>
      <c r="E69" s="59"/>
      <c r="F69" s="59"/>
      <c r="G69" s="59"/>
      <c r="H69" s="59"/>
      <c r="I69" s="59"/>
      <c r="J69" s="59"/>
      <c r="K69" s="59"/>
      <c r="L69" s="59"/>
      <c r="M69" s="59"/>
      <c r="N69" s="59"/>
      <c r="O69" s="59"/>
      <c r="P69" s="59"/>
    </row>
    <row r="70" spans="2:16" x14ac:dyDescent="0.3">
      <c r="B70" s="59"/>
      <c r="C70" s="59"/>
      <c r="D70" s="59"/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</row>
    <row r="71" spans="2:16" x14ac:dyDescent="0.3">
      <c r="B71" s="59"/>
      <c r="C71" s="59"/>
      <c r="D71" s="59"/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</row>
    <row r="72" spans="2:16" x14ac:dyDescent="0.3">
      <c r="B72" s="59"/>
      <c r="C72" s="59"/>
      <c r="D72" s="59"/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</row>
    <row r="73" spans="2:16" x14ac:dyDescent="0.3">
      <c r="B73" s="59"/>
      <c r="C73" s="59"/>
      <c r="D73" s="59"/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</row>
    <row r="74" spans="2:16" x14ac:dyDescent="0.3">
      <c r="B74" s="59"/>
      <c r="C74" s="59"/>
      <c r="D74" s="59"/>
      <c r="E74" s="59"/>
      <c r="F74" s="59"/>
      <c r="G74" s="59"/>
      <c r="H74" s="59"/>
      <c r="I74" s="59"/>
      <c r="J74" s="59"/>
      <c r="K74" s="59"/>
      <c r="L74" s="59"/>
      <c r="M74" s="59"/>
      <c r="N74" s="59"/>
      <c r="O74" s="59"/>
      <c r="P74" s="59"/>
    </row>
    <row r="75" spans="2:16" x14ac:dyDescent="0.3">
      <c r="B75" s="59"/>
      <c r="C75" s="59"/>
      <c r="D75" s="59"/>
      <c r="E75" s="59"/>
      <c r="F75" s="59"/>
      <c r="G75" s="59"/>
      <c r="H75" s="59"/>
      <c r="I75" s="59"/>
      <c r="J75" s="59"/>
      <c r="K75" s="59"/>
      <c r="L75" s="59"/>
      <c r="M75" s="59"/>
      <c r="N75" s="59"/>
      <c r="O75" s="59"/>
      <c r="P75" s="59"/>
    </row>
    <row r="76" spans="2:16" x14ac:dyDescent="0.3">
      <c r="B76" s="59"/>
      <c r="C76" s="59"/>
      <c r="D76" s="59"/>
      <c r="E76" s="59"/>
      <c r="F76" s="59"/>
      <c r="G76" s="59"/>
      <c r="H76" s="59"/>
      <c r="I76" s="59"/>
      <c r="J76" s="59"/>
      <c r="K76" s="59"/>
      <c r="L76" s="59"/>
      <c r="M76" s="59"/>
      <c r="N76" s="59"/>
      <c r="O76" s="59"/>
      <c r="P76" s="59"/>
    </row>
    <row r="77" spans="2:16" x14ac:dyDescent="0.3">
      <c r="B77" s="59"/>
      <c r="C77" s="59"/>
      <c r="D77" s="59"/>
      <c r="E77" s="59"/>
      <c r="F77" s="59"/>
      <c r="G77" s="59"/>
      <c r="H77" s="59"/>
      <c r="I77" s="59"/>
      <c r="J77" s="59"/>
      <c r="K77" s="59"/>
      <c r="L77" s="59"/>
      <c r="M77" s="59"/>
      <c r="N77" s="59"/>
      <c r="O77" s="59"/>
      <c r="P77" s="59"/>
    </row>
    <row r="78" spans="2:16" x14ac:dyDescent="0.3">
      <c r="B78" s="59"/>
      <c r="C78" s="59"/>
      <c r="D78" s="59"/>
      <c r="E78" s="59"/>
      <c r="F78" s="59"/>
      <c r="G78" s="59"/>
      <c r="H78" s="59"/>
      <c r="I78" s="59"/>
      <c r="J78" s="59"/>
      <c r="K78" s="59"/>
      <c r="L78" s="59"/>
      <c r="M78" s="59"/>
      <c r="N78" s="59"/>
      <c r="O78" s="59"/>
      <c r="P78" s="59"/>
    </row>
    <row r="79" spans="2:16" x14ac:dyDescent="0.3">
      <c r="B79" s="59"/>
      <c r="C79" s="59"/>
      <c r="D79" s="59"/>
      <c r="E79" s="59"/>
      <c r="F79" s="59"/>
      <c r="G79" s="59"/>
      <c r="H79" s="59"/>
      <c r="I79" s="59"/>
      <c r="J79" s="59"/>
      <c r="K79" s="59"/>
      <c r="L79" s="59"/>
      <c r="M79" s="59"/>
      <c r="N79" s="59"/>
      <c r="O79" s="59"/>
      <c r="P79" s="59"/>
    </row>
    <row r="80" spans="2:16" x14ac:dyDescent="0.3">
      <c r="B80" s="59"/>
      <c r="C80" s="59"/>
      <c r="D80" s="59"/>
      <c r="E80" s="59"/>
      <c r="F80" s="59"/>
      <c r="G80" s="59"/>
      <c r="H80" s="59"/>
      <c r="I80" s="59"/>
      <c r="J80" s="59"/>
      <c r="K80" s="59"/>
      <c r="L80" s="59"/>
      <c r="M80" s="59"/>
      <c r="N80" s="59"/>
      <c r="O80" s="59"/>
      <c r="P80" s="59"/>
    </row>
    <row r="81" spans="1:16" x14ac:dyDescent="0.3">
      <c r="B81" s="59"/>
      <c r="C81" s="59"/>
      <c r="D81" s="59"/>
      <c r="E81" s="59"/>
      <c r="F81" s="59"/>
      <c r="G81" s="59"/>
      <c r="H81" s="59"/>
      <c r="I81" s="59"/>
      <c r="J81" s="59"/>
      <c r="K81" s="59"/>
      <c r="L81" s="59"/>
      <c r="M81" s="59"/>
      <c r="N81" s="59"/>
      <c r="O81" s="59"/>
      <c r="P81" s="59"/>
    </row>
    <row r="82" spans="1:16" x14ac:dyDescent="0.3">
      <c r="B82" s="59"/>
      <c r="C82" s="59"/>
      <c r="D82" s="59"/>
      <c r="E82" s="59"/>
      <c r="F82" s="59"/>
      <c r="G82" s="59"/>
      <c r="H82" s="59"/>
      <c r="I82" s="59"/>
      <c r="J82" s="59"/>
      <c r="K82" s="59"/>
      <c r="L82" s="59"/>
      <c r="M82" s="59"/>
      <c r="N82" s="59"/>
      <c r="O82" s="59"/>
      <c r="P82" s="59"/>
    </row>
    <row r="83" spans="1:16" x14ac:dyDescent="0.3">
      <c r="B83" s="59"/>
      <c r="C83" s="59"/>
      <c r="D83" s="59"/>
      <c r="E83" s="59"/>
      <c r="F83" s="59"/>
      <c r="G83" s="59"/>
      <c r="H83" s="59"/>
      <c r="I83" s="59"/>
      <c r="J83" s="59"/>
      <c r="K83" s="59"/>
      <c r="L83" s="59"/>
      <c r="M83" s="59"/>
      <c r="N83" s="59"/>
      <c r="O83" s="59"/>
      <c r="P83" s="59"/>
    </row>
    <row r="84" spans="1:16" x14ac:dyDescent="0.3">
      <c r="B84" s="59"/>
      <c r="C84" s="59"/>
      <c r="D84" s="59"/>
      <c r="E84" s="59"/>
      <c r="F84" s="59"/>
      <c r="G84" s="59"/>
      <c r="H84" s="59"/>
      <c r="I84" s="59"/>
      <c r="J84" s="59"/>
      <c r="K84" s="59"/>
      <c r="L84" s="59"/>
      <c r="M84" s="59"/>
      <c r="N84" s="59"/>
      <c r="O84" s="59"/>
      <c r="P84" s="59"/>
    </row>
    <row r="85" spans="1:16" x14ac:dyDescent="0.3">
      <c r="B85" s="59"/>
      <c r="C85" s="59"/>
      <c r="D85" s="59"/>
      <c r="E85" s="59"/>
      <c r="F85" s="59"/>
      <c r="G85" s="59"/>
      <c r="H85" s="59"/>
      <c r="I85" s="59"/>
      <c r="J85" s="59"/>
      <c r="K85" s="59"/>
      <c r="L85" s="59"/>
      <c r="M85" s="59"/>
      <c r="N85" s="59"/>
      <c r="O85" s="59"/>
      <c r="P85" s="59"/>
    </row>
    <row r="86" spans="1:16" x14ac:dyDescent="0.3">
      <c r="B86" s="59"/>
      <c r="C86" s="59"/>
      <c r="D86" s="59"/>
      <c r="E86" s="59"/>
      <c r="F86" s="59"/>
      <c r="G86" s="59"/>
      <c r="H86" s="59"/>
      <c r="I86" s="59"/>
      <c r="J86" s="59"/>
      <c r="K86" s="59"/>
      <c r="L86" s="59"/>
      <c r="M86" s="59"/>
      <c r="N86" s="59"/>
      <c r="O86" s="59"/>
      <c r="P86" s="59"/>
    </row>
    <row r="87" spans="1:16" x14ac:dyDescent="0.3">
      <c r="B87" s="59"/>
      <c r="C87" s="59"/>
      <c r="D87" s="59"/>
      <c r="E87" s="59"/>
      <c r="F87" s="59"/>
      <c r="G87" s="59"/>
      <c r="H87" s="59"/>
      <c r="I87" s="59"/>
      <c r="J87" s="59"/>
      <c r="K87" s="59"/>
      <c r="L87" s="59"/>
      <c r="M87" s="59"/>
      <c r="N87" s="59"/>
      <c r="O87" s="59"/>
      <c r="P87" s="59"/>
    </row>
    <row r="88" spans="1:16" x14ac:dyDescent="0.3">
      <c r="B88" s="59"/>
      <c r="C88" s="59"/>
      <c r="D88" s="59"/>
      <c r="E88" s="59"/>
      <c r="F88" s="59"/>
      <c r="G88" s="59"/>
      <c r="H88" s="59"/>
      <c r="I88" s="59"/>
      <c r="J88" s="59"/>
      <c r="K88" s="59"/>
      <c r="L88" s="59"/>
      <c r="M88" s="59"/>
      <c r="N88" s="59"/>
      <c r="O88" s="59"/>
      <c r="P88" s="59"/>
    </row>
    <row r="89" spans="1:16" x14ac:dyDescent="0.3">
      <c r="B89" s="59"/>
      <c r="C89" s="59"/>
      <c r="D89" s="59"/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</row>
    <row r="90" spans="1:16" x14ac:dyDescent="0.3">
      <c r="A90" s="59"/>
      <c r="B90" s="59"/>
      <c r="C90" s="59"/>
      <c r="D90" s="59"/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</row>
    <row r="91" spans="1:16" x14ac:dyDescent="0.3">
      <c r="A91" s="59"/>
      <c r="B91" s="59"/>
      <c r="C91" s="59"/>
      <c r="D91" s="59"/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</row>
    <row r="92" spans="1:16" x14ac:dyDescent="0.3">
      <c r="A92" s="59"/>
      <c r="B92" s="59"/>
      <c r="C92" s="59"/>
      <c r="D92" s="59"/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</row>
    <row r="93" spans="1:16" x14ac:dyDescent="0.3">
      <c r="A93" s="59"/>
      <c r="B93" s="59"/>
      <c r="C93" s="59"/>
      <c r="D93" s="59"/>
      <c r="E93" s="59"/>
      <c r="F93" s="59"/>
      <c r="G93" s="59"/>
      <c r="H93" s="59"/>
      <c r="I93" s="59"/>
      <c r="J93" s="59"/>
      <c r="K93" s="59"/>
      <c r="L93" s="59"/>
      <c r="M93" s="59"/>
      <c r="N93" s="59"/>
      <c r="O93" s="59"/>
      <c r="P93" s="59"/>
    </row>
    <row r="94" spans="1:16" x14ac:dyDescent="0.3">
      <c r="A94" s="59"/>
      <c r="B94" s="59"/>
      <c r="C94" s="59"/>
      <c r="D94" s="59"/>
      <c r="E94" s="59"/>
      <c r="F94" s="59"/>
      <c r="G94" s="59"/>
      <c r="H94" s="59"/>
      <c r="I94" s="59"/>
      <c r="J94" s="59"/>
      <c r="K94" s="59"/>
      <c r="L94" s="59"/>
      <c r="M94" s="59"/>
      <c r="N94" s="59"/>
      <c r="O94" s="59"/>
      <c r="P94" s="59"/>
    </row>
    <row r="95" spans="1:16" x14ac:dyDescent="0.3">
      <c r="A95" s="59"/>
      <c r="B95" s="59"/>
      <c r="C95" s="59"/>
      <c r="D95" s="59"/>
      <c r="E95" s="59"/>
      <c r="F95" s="59"/>
      <c r="G95" s="59"/>
      <c r="H95" s="59"/>
      <c r="I95" s="59"/>
      <c r="J95" s="59"/>
      <c r="K95" s="59"/>
      <c r="L95" s="59"/>
      <c r="M95" s="59"/>
      <c r="N95" s="59"/>
      <c r="O95" s="59"/>
      <c r="P95" s="59"/>
    </row>
    <row r="96" spans="1:16" x14ac:dyDescent="0.3">
      <c r="A96" s="59"/>
      <c r="B96" s="59"/>
      <c r="C96" s="59"/>
      <c r="D96" s="59"/>
      <c r="E96" s="59"/>
      <c r="F96" s="59"/>
      <c r="G96" s="59"/>
      <c r="H96" s="59"/>
      <c r="I96" s="59"/>
      <c r="J96" s="59"/>
      <c r="K96" s="59"/>
      <c r="L96" s="59"/>
      <c r="M96" s="59"/>
      <c r="N96" s="59"/>
      <c r="O96" s="59"/>
      <c r="P96" s="59"/>
    </row>
    <row r="97" spans="1:16" x14ac:dyDescent="0.3">
      <c r="A97" s="59"/>
      <c r="B97" s="59"/>
      <c r="C97" s="59"/>
      <c r="D97" s="59"/>
      <c r="E97" s="59"/>
      <c r="F97" s="59"/>
      <c r="G97" s="59"/>
      <c r="H97" s="59"/>
      <c r="I97" s="59"/>
      <c r="J97" s="59"/>
      <c r="K97" s="59"/>
      <c r="L97" s="59"/>
      <c r="M97" s="59"/>
      <c r="N97" s="59"/>
      <c r="O97" s="59"/>
      <c r="P97" s="59"/>
    </row>
    <row r="98" spans="1:16" x14ac:dyDescent="0.3">
      <c r="A98" s="59"/>
      <c r="B98" s="59"/>
      <c r="C98" s="59"/>
      <c r="D98" s="59"/>
      <c r="E98" s="59"/>
      <c r="F98" s="59"/>
      <c r="G98" s="59"/>
      <c r="H98" s="59"/>
      <c r="I98" s="59"/>
      <c r="J98" s="59"/>
      <c r="K98" s="59"/>
      <c r="L98" s="59"/>
      <c r="M98" s="59"/>
      <c r="N98" s="59"/>
      <c r="O98" s="59"/>
      <c r="P98" s="59"/>
    </row>
    <row r="99" spans="1:16" x14ac:dyDescent="0.3">
      <c r="A99" s="59"/>
      <c r="B99" s="59"/>
      <c r="C99" s="59"/>
      <c r="D99" s="59"/>
      <c r="E99" s="59"/>
      <c r="F99" s="59"/>
      <c r="G99" s="59"/>
      <c r="H99" s="59"/>
      <c r="I99" s="59"/>
      <c r="J99" s="59"/>
      <c r="K99" s="59"/>
      <c r="L99" s="59"/>
      <c r="M99" s="59"/>
      <c r="N99" s="59"/>
      <c r="O99" s="59"/>
      <c r="P99" s="59"/>
    </row>
    <row r="100" spans="1:16" x14ac:dyDescent="0.3">
      <c r="A100" s="59"/>
      <c r="B100" s="59"/>
      <c r="C100" s="59"/>
      <c r="D100" s="59"/>
      <c r="E100" s="59"/>
      <c r="F100" s="59"/>
      <c r="G100" s="59"/>
      <c r="H100" s="59"/>
      <c r="I100" s="59"/>
      <c r="J100" s="59"/>
      <c r="K100" s="59"/>
      <c r="L100" s="59"/>
      <c r="M100" s="59"/>
      <c r="N100" s="59"/>
      <c r="O100" s="59"/>
      <c r="P100" s="59"/>
    </row>
    <row r="101" spans="1:16" x14ac:dyDescent="0.3">
      <c r="A101" s="59"/>
      <c r="B101" s="59"/>
      <c r="C101" s="59"/>
      <c r="D101" s="59"/>
      <c r="E101" s="59"/>
      <c r="F101" s="59"/>
      <c r="G101" s="59"/>
      <c r="H101" s="59"/>
      <c r="I101" s="59"/>
      <c r="J101" s="59"/>
      <c r="K101" s="59"/>
      <c r="L101" s="59"/>
      <c r="M101" s="59"/>
      <c r="N101" s="59"/>
      <c r="O101" s="59"/>
      <c r="P101" s="59"/>
    </row>
    <row r="102" spans="1:16" x14ac:dyDescent="0.3">
      <c r="A102" s="59"/>
      <c r="B102" s="59"/>
      <c r="C102" s="59"/>
      <c r="D102" s="59"/>
      <c r="E102" s="59"/>
      <c r="F102" s="59"/>
      <c r="G102" s="59"/>
      <c r="H102" s="59"/>
      <c r="I102" s="59"/>
      <c r="J102" s="59"/>
      <c r="K102" s="59"/>
      <c r="L102" s="59"/>
      <c r="M102" s="59"/>
      <c r="N102" s="59"/>
      <c r="O102" s="59"/>
      <c r="P102" s="59"/>
    </row>
    <row r="103" spans="1:16" x14ac:dyDescent="0.3">
      <c r="A103" s="59"/>
      <c r="B103" s="59"/>
      <c r="C103" s="59"/>
      <c r="D103" s="59"/>
      <c r="E103" s="59"/>
      <c r="F103" s="59"/>
      <c r="G103" s="59"/>
      <c r="H103" s="59"/>
      <c r="I103" s="59"/>
      <c r="J103" s="59"/>
      <c r="K103" s="59"/>
      <c r="L103" s="59"/>
      <c r="M103" s="59"/>
      <c r="N103" s="59"/>
      <c r="O103" s="59"/>
      <c r="P103" s="59"/>
    </row>
  </sheetData>
  <autoFilter ref="A3:R89" xr:uid="{E75414E1-8D9C-4E08-B40E-C6B8ADC19FDD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O633"/>
  <sheetViews>
    <sheetView topLeftCell="A295" workbookViewId="0"/>
  </sheetViews>
  <sheetFormatPr defaultRowHeight="14.4" x14ac:dyDescent="0.3"/>
  <cols>
    <col min="9" max="10" width="5.21875" bestFit="1" customWidth="1"/>
    <col min="11" max="11" width="3.109375" bestFit="1" customWidth="1"/>
  </cols>
  <sheetData>
    <row r="1" spans="1:15" x14ac:dyDescent="0.3">
      <c r="A1" s="11" t="s">
        <v>227</v>
      </c>
      <c r="B1" s="11" t="s">
        <v>541</v>
      </c>
      <c r="C1" s="11" t="s">
        <v>100</v>
      </c>
      <c r="D1" s="11" t="s">
        <v>542</v>
      </c>
      <c r="E1" s="11" t="s">
        <v>133</v>
      </c>
      <c r="F1" s="11" t="s">
        <v>543</v>
      </c>
      <c r="G1" s="11" t="s">
        <v>104</v>
      </c>
      <c r="H1" s="11" t="s">
        <v>544</v>
      </c>
      <c r="I1" s="15">
        <f>P3</f>
        <v>0</v>
      </c>
      <c r="J1" s="16">
        <f>X3</f>
        <v>0</v>
      </c>
      <c r="N1" s="11" t="s">
        <v>100</v>
      </c>
    </row>
    <row r="2" spans="1:15" x14ac:dyDescent="0.3">
      <c r="A2" t="s">
        <v>228</v>
      </c>
      <c r="B2" t="s">
        <v>131</v>
      </c>
      <c r="C2" t="s">
        <v>122</v>
      </c>
      <c r="D2" t="s">
        <v>5</v>
      </c>
      <c r="I2" s="17" t="e">
        <f>INDEX(N:N,MATCH(A2,O:O,0))/100</f>
        <v>#N/A</v>
      </c>
      <c r="J2" s="17" t="e">
        <f>INDEX(V:V,MATCH(A2,W:W,0))/100</f>
        <v>#N/A</v>
      </c>
      <c r="K2" s="18" t="s">
        <v>545</v>
      </c>
      <c r="N2" t="s">
        <v>122</v>
      </c>
      <c r="O2" t="s">
        <v>663</v>
      </c>
    </row>
    <row r="3" spans="1:15" x14ac:dyDescent="0.3">
      <c r="A3" t="s">
        <v>228</v>
      </c>
      <c r="B3" t="s">
        <v>131</v>
      </c>
      <c r="C3" t="s">
        <v>122</v>
      </c>
      <c r="D3" t="s">
        <v>5</v>
      </c>
      <c r="I3" s="18" t="e">
        <f>INDEX(M:M,MATCH(A2,O:O,0))</f>
        <v>#N/A</v>
      </c>
      <c r="J3" s="18" t="e">
        <f>INDEX(U:U,MATCH(A2,W:W,0))</f>
        <v>#N/A</v>
      </c>
      <c r="K3" s="19" t="s">
        <v>539</v>
      </c>
      <c r="N3" t="s">
        <v>126</v>
      </c>
      <c r="O3" t="s">
        <v>664</v>
      </c>
    </row>
    <row r="4" spans="1:15" x14ac:dyDescent="0.3">
      <c r="A4" t="s">
        <v>229</v>
      </c>
      <c r="B4" t="s">
        <v>131</v>
      </c>
      <c r="C4" t="s">
        <v>122</v>
      </c>
      <c r="D4" t="s">
        <v>6</v>
      </c>
      <c r="I4" s="17" t="e">
        <f>INDEX(N:N,MATCH(A4,O:O,0))/100</f>
        <v>#N/A</v>
      </c>
      <c r="J4" s="17" t="e">
        <f>INDEX(V:V,MATCH(A4,W:W,0))/100</f>
        <v>#N/A</v>
      </c>
      <c r="K4" s="18" t="s">
        <v>545</v>
      </c>
      <c r="N4" t="s">
        <v>119</v>
      </c>
      <c r="O4" t="s">
        <v>666</v>
      </c>
    </row>
    <row r="5" spans="1:15" x14ac:dyDescent="0.3">
      <c r="A5" t="s">
        <v>229</v>
      </c>
      <c r="B5" t="s">
        <v>131</v>
      </c>
      <c r="C5" t="s">
        <v>122</v>
      </c>
      <c r="D5" t="s">
        <v>6</v>
      </c>
      <c r="I5" s="18" t="e">
        <f>INDEX(M:M,MATCH(A4,O:O,0))</f>
        <v>#N/A</v>
      </c>
      <c r="J5" s="18" t="e">
        <f>INDEX(U:U,MATCH(A4,W:W,0))</f>
        <v>#N/A</v>
      </c>
      <c r="K5" s="19" t="s">
        <v>539</v>
      </c>
      <c r="N5" t="s">
        <v>114</v>
      </c>
      <c r="O5" t="s">
        <v>665</v>
      </c>
    </row>
    <row r="6" spans="1:15" x14ac:dyDescent="0.3">
      <c r="A6" t="s">
        <v>230</v>
      </c>
      <c r="B6" t="s">
        <v>131</v>
      </c>
      <c r="C6" t="s">
        <v>122</v>
      </c>
      <c r="D6" t="s">
        <v>7</v>
      </c>
      <c r="I6" s="17" t="e">
        <f>INDEX(N:N,MATCH(A6,O:O,0))/100</f>
        <v>#N/A</v>
      </c>
      <c r="J6" s="17" t="e">
        <f>INDEX(V:V,MATCH(A6,W:W,0))/100</f>
        <v>#N/A</v>
      </c>
      <c r="K6" s="18" t="s">
        <v>545</v>
      </c>
      <c r="N6" t="s">
        <v>124</v>
      </c>
      <c r="O6" t="s">
        <v>667</v>
      </c>
    </row>
    <row r="7" spans="1:15" x14ac:dyDescent="0.3">
      <c r="A7" t="s">
        <v>230</v>
      </c>
      <c r="B7" t="s">
        <v>131</v>
      </c>
      <c r="C7" t="s">
        <v>122</v>
      </c>
      <c r="D7" t="s">
        <v>7</v>
      </c>
      <c r="I7" s="18" t="e">
        <f>INDEX(M:M,MATCH(A6,O:O,0))</f>
        <v>#N/A</v>
      </c>
      <c r="J7" s="18" t="e">
        <f>INDEX(U:U,MATCH(A6,W:W,0))</f>
        <v>#N/A</v>
      </c>
      <c r="K7" s="19" t="s">
        <v>539</v>
      </c>
    </row>
    <row r="8" spans="1:15" x14ac:dyDescent="0.3">
      <c r="A8" t="s">
        <v>231</v>
      </c>
      <c r="B8" t="s">
        <v>131</v>
      </c>
      <c r="C8" t="s">
        <v>122</v>
      </c>
      <c r="D8" t="s">
        <v>8</v>
      </c>
      <c r="I8" s="17" t="e">
        <f>INDEX(N:N,MATCH(A8,O:O,0))/100</f>
        <v>#N/A</v>
      </c>
      <c r="J8" s="17" t="e">
        <f>INDEX(V:V,MATCH(A8,W:W,0))/100</f>
        <v>#N/A</v>
      </c>
      <c r="K8" s="18" t="s">
        <v>545</v>
      </c>
      <c r="N8" t="s">
        <v>52</v>
      </c>
    </row>
    <row r="9" spans="1:15" x14ac:dyDescent="0.3">
      <c r="A9" t="s">
        <v>231</v>
      </c>
      <c r="B9" t="s">
        <v>131</v>
      </c>
      <c r="C9" t="s">
        <v>122</v>
      </c>
      <c r="D9" t="s">
        <v>8</v>
      </c>
      <c r="I9" s="18" t="e">
        <f>INDEX(M:M,MATCH(A8,O:O,0))</f>
        <v>#N/A</v>
      </c>
      <c r="J9" s="18" t="e">
        <f>INDEX(U:U,MATCH(A8,W:W,0))</f>
        <v>#N/A</v>
      </c>
      <c r="K9" s="19" t="s">
        <v>539</v>
      </c>
      <c r="N9" s="20" t="s">
        <v>560</v>
      </c>
    </row>
    <row r="10" spans="1:15" x14ac:dyDescent="0.3">
      <c r="A10" t="s">
        <v>232</v>
      </c>
      <c r="B10" t="s">
        <v>131</v>
      </c>
      <c r="C10" t="s">
        <v>122</v>
      </c>
      <c r="D10" t="s">
        <v>9</v>
      </c>
      <c r="I10" s="17" t="e">
        <f>INDEX(N:N,MATCH(A10,O:O,0))/100</f>
        <v>#N/A</v>
      </c>
      <c r="J10" s="17" t="e">
        <f>INDEX(V:V,MATCH(A10,W:W,0))/100</f>
        <v>#N/A</v>
      </c>
      <c r="K10" s="18" t="s">
        <v>545</v>
      </c>
    </row>
    <row r="11" spans="1:15" x14ac:dyDescent="0.3">
      <c r="A11" t="s">
        <v>232</v>
      </c>
      <c r="B11" t="s">
        <v>131</v>
      </c>
      <c r="C11" t="s">
        <v>122</v>
      </c>
      <c r="D11" t="s">
        <v>9</v>
      </c>
      <c r="I11" s="18" t="e">
        <f>INDEX(M:M,MATCH(A10,O:O,0))</f>
        <v>#N/A</v>
      </c>
      <c r="J11" s="18" t="e">
        <f>INDEX(U:U,MATCH(A10,W:W,0))</f>
        <v>#N/A</v>
      </c>
      <c r="K11" s="19" t="s">
        <v>539</v>
      </c>
    </row>
    <row r="12" spans="1:15" x14ac:dyDescent="0.3">
      <c r="A12" t="s">
        <v>233</v>
      </c>
      <c r="B12" t="s">
        <v>131</v>
      </c>
      <c r="C12" t="s">
        <v>122</v>
      </c>
      <c r="D12" t="s">
        <v>10</v>
      </c>
      <c r="I12" s="17" t="e">
        <f>INDEX(N:N,MATCH(A12,O:O,0))/100</f>
        <v>#N/A</v>
      </c>
      <c r="J12" s="17" t="e">
        <f>INDEX(V:V,MATCH(A12,W:W,0))/100</f>
        <v>#N/A</v>
      </c>
      <c r="K12" s="18" t="s">
        <v>545</v>
      </c>
    </row>
    <row r="13" spans="1:15" x14ac:dyDescent="0.3">
      <c r="A13" t="s">
        <v>233</v>
      </c>
      <c r="B13" t="s">
        <v>131</v>
      </c>
      <c r="C13" t="s">
        <v>122</v>
      </c>
      <c r="D13" t="s">
        <v>10</v>
      </c>
      <c r="I13" s="18" t="e">
        <f>INDEX(M:M,MATCH(A12,O:O,0))</f>
        <v>#N/A</v>
      </c>
      <c r="J13" s="18" t="e">
        <f>INDEX(U:U,MATCH(A12,W:W,0))</f>
        <v>#N/A</v>
      </c>
      <c r="K13" s="19" t="s">
        <v>539</v>
      </c>
    </row>
    <row r="14" spans="1:15" x14ac:dyDescent="0.3">
      <c r="A14" t="s">
        <v>234</v>
      </c>
      <c r="B14" t="s">
        <v>131</v>
      </c>
      <c r="C14" t="s">
        <v>122</v>
      </c>
      <c r="D14" t="s">
        <v>13</v>
      </c>
      <c r="I14" s="17" t="e">
        <f>INDEX(N:N,MATCH(A14,O:O,0))/100</f>
        <v>#N/A</v>
      </c>
      <c r="J14" s="17" t="e">
        <f>INDEX(V:V,MATCH(A14,W:W,0))/100</f>
        <v>#N/A</v>
      </c>
      <c r="K14" s="18" t="s">
        <v>545</v>
      </c>
    </row>
    <row r="15" spans="1:15" x14ac:dyDescent="0.3">
      <c r="A15" t="s">
        <v>234</v>
      </c>
      <c r="B15" t="s">
        <v>131</v>
      </c>
      <c r="C15" t="s">
        <v>122</v>
      </c>
      <c r="D15" t="s">
        <v>13</v>
      </c>
      <c r="I15" s="18" t="e">
        <f>INDEX(M:M,MATCH(A14,O:O,0))</f>
        <v>#N/A</v>
      </c>
      <c r="J15" s="18" t="e">
        <f>INDEX(U:U,MATCH(A14,W:W,0))</f>
        <v>#N/A</v>
      </c>
      <c r="K15" s="19" t="s">
        <v>539</v>
      </c>
    </row>
    <row r="16" spans="1:15" x14ac:dyDescent="0.3">
      <c r="A16" t="s">
        <v>235</v>
      </c>
      <c r="B16" t="s">
        <v>131</v>
      </c>
      <c r="C16" t="s">
        <v>122</v>
      </c>
      <c r="D16" t="s">
        <v>14</v>
      </c>
      <c r="I16" s="17" t="e">
        <f>INDEX(N:N,MATCH(A16,O:O,0))/100</f>
        <v>#N/A</v>
      </c>
      <c r="J16" s="17" t="e">
        <f>INDEX(V:V,MATCH(A16,W:W,0))/100</f>
        <v>#N/A</v>
      </c>
      <c r="K16" s="18" t="s">
        <v>545</v>
      </c>
    </row>
    <row r="17" spans="1:11" x14ac:dyDescent="0.3">
      <c r="A17" t="s">
        <v>235</v>
      </c>
      <c r="B17" t="s">
        <v>131</v>
      </c>
      <c r="C17" t="s">
        <v>122</v>
      </c>
      <c r="D17" t="s">
        <v>14</v>
      </c>
      <c r="I17" s="18" t="e">
        <f>INDEX(M:M,MATCH(A16,O:O,0))</f>
        <v>#N/A</v>
      </c>
      <c r="J17" s="18" t="e">
        <f>INDEX(U:U,MATCH(A16,W:W,0))</f>
        <v>#N/A</v>
      </c>
      <c r="K17" s="19" t="s">
        <v>539</v>
      </c>
    </row>
    <row r="18" spans="1:11" x14ac:dyDescent="0.3">
      <c r="A18" t="s">
        <v>236</v>
      </c>
      <c r="B18" t="s">
        <v>131</v>
      </c>
      <c r="C18" t="s">
        <v>122</v>
      </c>
      <c r="D18" t="s">
        <v>11</v>
      </c>
      <c r="I18" s="17" t="e">
        <f>INDEX(N:N,MATCH(A18,O:O,0))/100</f>
        <v>#N/A</v>
      </c>
      <c r="J18" s="17" t="e">
        <f>INDEX(V:V,MATCH(A18,W:W,0))/100</f>
        <v>#N/A</v>
      </c>
      <c r="K18" s="18" t="s">
        <v>545</v>
      </c>
    </row>
    <row r="19" spans="1:11" x14ac:dyDescent="0.3">
      <c r="A19" t="s">
        <v>236</v>
      </c>
      <c r="B19" t="s">
        <v>131</v>
      </c>
      <c r="C19" t="s">
        <v>122</v>
      </c>
      <c r="D19" t="s">
        <v>11</v>
      </c>
      <c r="I19" s="18" t="e">
        <f>INDEX(M:M,MATCH(A18,O:O,0))</f>
        <v>#N/A</v>
      </c>
      <c r="J19" s="18" t="e">
        <f>INDEX(U:U,MATCH(A18,W:W,0))</f>
        <v>#N/A</v>
      </c>
      <c r="K19" s="19" t="s">
        <v>539</v>
      </c>
    </row>
    <row r="20" spans="1:11" x14ac:dyDescent="0.3">
      <c r="A20" t="s">
        <v>237</v>
      </c>
      <c r="B20" t="s">
        <v>131</v>
      </c>
      <c r="C20" t="s">
        <v>122</v>
      </c>
      <c r="D20" t="s">
        <v>23</v>
      </c>
      <c r="I20" s="17" t="e">
        <f>INDEX(N:N,MATCH(A20,O:O,0))/100</f>
        <v>#N/A</v>
      </c>
      <c r="J20" s="17" t="e">
        <f>INDEX(V:V,MATCH(A20,W:W,0))/100</f>
        <v>#N/A</v>
      </c>
      <c r="K20" s="18" t="s">
        <v>545</v>
      </c>
    </row>
    <row r="21" spans="1:11" x14ac:dyDescent="0.3">
      <c r="A21" t="s">
        <v>237</v>
      </c>
      <c r="B21" t="s">
        <v>131</v>
      </c>
      <c r="C21" t="s">
        <v>122</v>
      </c>
      <c r="D21" t="s">
        <v>23</v>
      </c>
      <c r="I21" s="18" t="e">
        <f>INDEX(M:M,MATCH(A20,O:O,0))</f>
        <v>#N/A</v>
      </c>
      <c r="J21" s="18" t="e">
        <f>INDEX(U:U,MATCH(A20,W:W,0))</f>
        <v>#N/A</v>
      </c>
      <c r="K21" s="19" t="s">
        <v>539</v>
      </c>
    </row>
    <row r="22" spans="1:11" x14ac:dyDescent="0.3">
      <c r="A22" t="s">
        <v>238</v>
      </c>
      <c r="B22" t="s">
        <v>131</v>
      </c>
      <c r="C22" t="s">
        <v>122</v>
      </c>
      <c r="D22" t="s">
        <v>24</v>
      </c>
      <c r="I22" s="17" t="e">
        <f>INDEX(N:N,MATCH(A22,O:O,0))/100</f>
        <v>#N/A</v>
      </c>
      <c r="J22" s="17" t="e">
        <f>INDEX(V:V,MATCH(A22,W:W,0))/100</f>
        <v>#N/A</v>
      </c>
      <c r="K22" s="18" t="s">
        <v>545</v>
      </c>
    </row>
    <row r="23" spans="1:11" x14ac:dyDescent="0.3">
      <c r="A23" t="s">
        <v>238</v>
      </c>
      <c r="B23" t="s">
        <v>131</v>
      </c>
      <c r="C23" t="s">
        <v>122</v>
      </c>
      <c r="D23" t="s">
        <v>24</v>
      </c>
      <c r="I23" s="18" t="e">
        <f>INDEX(M:M,MATCH(A22,O:O,0))</f>
        <v>#N/A</v>
      </c>
      <c r="J23" s="18" t="e">
        <f>INDEX(U:U,MATCH(A22,W:W,0))</f>
        <v>#N/A</v>
      </c>
      <c r="K23" s="19" t="s">
        <v>539</v>
      </c>
    </row>
    <row r="24" spans="1:11" x14ac:dyDescent="0.3">
      <c r="A24" t="s">
        <v>239</v>
      </c>
      <c r="B24" t="s">
        <v>131</v>
      </c>
      <c r="C24" t="s">
        <v>122</v>
      </c>
      <c r="D24" t="s">
        <v>25</v>
      </c>
      <c r="I24" s="17" t="e">
        <f>INDEX(N:N,MATCH(A24,O:O,0))/100</f>
        <v>#N/A</v>
      </c>
      <c r="J24" s="17" t="e">
        <f>INDEX(V:V,MATCH(A24,W:W,0))/100</f>
        <v>#N/A</v>
      </c>
      <c r="K24" s="18" t="s">
        <v>545</v>
      </c>
    </row>
    <row r="25" spans="1:11" x14ac:dyDescent="0.3">
      <c r="A25" t="s">
        <v>239</v>
      </c>
      <c r="B25" t="s">
        <v>131</v>
      </c>
      <c r="C25" t="s">
        <v>122</v>
      </c>
      <c r="D25" t="s">
        <v>25</v>
      </c>
      <c r="I25" s="18" t="e">
        <f>INDEX(M:M,MATCH(A24,O:O,0))</f>
        <v>#N/A</v>
      </c>
      <c r="J25" s="18" t="e">
        <f>INDEX(U:U,MATCH(A24,W:W,0))</f>
        <v>#N/A</v>
      </c>
      <c r="K25" s="19" t="s">
        <v>539</v>
      </c>
    </row>
    <row r="26" spans="1:11" x14ac:dyDescent="0.3">
      <c r="A26" t="s">
        <v>240</v>
      </c>
      <c r="B26" t="s">
        <v>131</v>
      </c>
      <c r="C26" t="s">
        <v>122</v>
      </c>
      <c r="D26" t="s">
        <v>26</v>
      </c>
      <c r="I26" s="17" t="e">
        <f>INDEX(N:N,MATCH(A26,O:O,0))/100</f>
        <v>#N/A</v>
      </c>
      <c r="J26" s="17" t="e">
        <f>INDEX(V:V,MATCH(A26,W:W,0))/100</f>
        <v>#N/A</v>
      </c>
      <c r="K26" s="18" t="s">
        <v>545</v>
      </c>
    </row>
    <row r="27" spans="1:11" x14ac:dyDescent="0.3">
      <c r="A27" t="s">
        <v>240</v>
      </c>
      <c r="B27" t="s">
        <v>131</v>
      </c>
      <c r="C27" t="s">
        <v>122</v>
      </c>
      <c r="D27" t="s">
        <v>26</v>
      </c>
      <c r="I27" s="18" t="e">
        <f>INDEX(M:M,MATCH(A26,O:O,0))</f>
        <v>#N/A</v>
      </c>
      <c r="J27" s="18" t="e">
        <f>INDEX(U:U,MATCH(A26,W:W,0))</f>
        <v>#N/A</v>
      </c>
      <c r="K27" s="19" t="s">
        <v>539</v>
      </c>
    </row>
    <row r="28" spans="1:11" x14ac:dyDescent="0.3">
      <c r="A28" t="s">
        <v>241</v>
      </c>
      <c r="B28" t="s">
        <v>131</v>
      </c>
      <c r="C28" t="s">
        <v>122</v>
      </c>
      <c r="D28" t="s">
        <v>27</v>
      </c>
      <c r="I28" s="17" t="e">
        <f>INDEX(N:N,MATCH(A28,O:O,0))/100</f>
        <v>#N/A</v>
      </c>
      <c r="J28" s="17" t="e">
        <f>INDEX(V:V,MATCH(A28,W:W,0))/100</f>
        <v>#N/A</v>
      </c>
      <c r="K28" s="18" t="s">
        <v>545</v>
      </c>
    </row>
    <row r="29" spans="1:11" x14ac:dyDescent="0.3">
      <c r="A29" t="s">
        <v>241</v>
      </c>
      <c r="B29" t="s">
        <v>131</v>
      </c>
      <c r="C29" t="s">
        <v>122</v>
      </c>
      <c r="D29" t="s">
        <v>27</v>
      </c>
      <c r="I29" s="18" t="e">
        <f>INDEX(M:M,MATCH(A28,O:O,0))</f>
        <v>#N/A</v>
      </c>
      <c r="J29" s="18" t="e">
        <f>INDEX(U:U,MATCH(A28,W:W,0))</f>
        <v>#N/A</v>
      </c>
      <c r="K29" s="19" t="s">
        <v>539</v>
      </c>
    </row>
    <row r="30" spans="1:11" x14ac:dyDescent="0.3">
      <c r="A30" t="s">
        <v>242</v>
      </c>
      <c r="B30" t="s">
        <v>131</v>
      </c>
      <c r="C30" t="s">
        <v>122</v>
      </c>
      <c r="D30" t="s">
        <v>32</v>
      </c>
      <c r="I30" s="17" t="e">
        <f>INDEX(N:N,MATCH(A30,O:O,0))/100</f>
        <v>#N/A</v>
      </c>
      <c r="J30" s="17" t="e">
        <f>INDEX(V:V,MATCH(A30,W:W,0))/100</f>
        <v>#N/A</v>
      </c>
      <c r="K30" s="18" t="s">
        <v>545</v>
      </c>
    </row>
    <row r="31" spans="1:11" x14ac:dyDescent="0.3">
      <c r="A31" t="s">
        <v>242</v>
      </c>
      <c r="B31" t="s">
        <v>131</v>
      </c>
      <c r="C31" t="s">
        <v>122</v>
      </c>
      <c r="D31" t="s">
        <v>32</v>
      </c>
      <c r="I31" s="18" t="e">
        <f>INDEX(M:M,MATCH(A30,O:O,0))</f>
        <v>#N/A</v>
      </c>
      <c r="J31" s="18" t="e">
        <f>INDEX(U:U,MATCH(A30,W:W,0))</f>
        <v>#N/A</v>
      </c>
      <c r="K31" s="19" t="s">
        <v>539</v>
      </c>
    </row>
    <row r="32" spans="1:11" x14ac:dyDescent="0.3">
      <c r="A32" t="s">
        <v>243</v>
      </c>
      <c r="B32" t="s">
        <v>131</v>
      </c>
      <c r="C32" t="s">
        <v>122</v>
      </c>
      <c r="D32" t="s">
        <v>37</v>
      </c>
      <c r="I32" s="17" t="e">
        <f>INDEX(N:N,MATCH(A32,O:O,0))/100</f>
        <v>#N/A</v>
      </c>
      <c r="J32" s="17" t="e">
        <f>INDEX(V:V,MATCH(A32,W:W,0))/100</f>
        <v>#N/A</v>
      </c>
      <c r="K32" s="18" t="s">
        <v>545</v>
      </c>
    </row>
    <row r="33" spans="1:11" x14ac:dyDescent="0.3">
      <c r="A33" t="s">
        <v>243</v>
      </c>
      <c r="B33" t="s">
        <v>131</v>
      </c>
      <c r="C33" t="s">
        <v>122</v>
      </c>
      <c r="D33" t="s">
        <v>37</v>
      </c>
      <c r="I33" s="18" t="e">
        <f>INDEX(M:M,MATCH(A32,O:O,0))</f>
        <v>#N/A</v>
      </c>
      <c r="J33" s="18" t="e">
        <f>INDEX(U:U,MATCH(A32,W:W,0))</f>
        <v>#N/A</v>
      </c>
      <c r="K33" s="19" t="s">
        <v>539</v>
      </c>
    </row>
    <row r="34" spans="1:11" x14ac:dyDescent="0.3">
      <c r="A34" t="s">
        <v>244</v>
      </c>
      <c r="B34" t="s">
        <v>131</v>
      </c>
      <c r="C34" t="s">
        <v>122</v>
      </c>
      <c r="D34" t="s">
        <v>29</v>
      </c>
      <c r="I34" s="17" t="e">
        <f>INDEX(N:N,MATCH(A34,O:O,0))/100</f>
        <v>#N/A</v>
      </c>
      <c r="J34" s="17" t="e">
        <f>INDEX(V:V,MATCH(A34,W:W,0))/100</f>
        <v>#N/A</v>
      </c>
      <c r="K34" s="18" t="s">
        <v>545</v>
      </c>
    </row>
    <row r="35" spans="1:11" x14ac:dyDescent="0.3">
      <c r="A35" t="s">
        <v>244</v>
      </c>
      <c r="B35" t="s">
        <v>131</v>
      </c>
      <c r="C35" t="s">
        <v>122</v>
      </c>
      <c r="D35" t="s">
        <v>29</v>
      </c>
      <c r="I35" s="18" t="e">
        <f>INDEX(M:M,MATCH(A34,O:O,0))</f>
        <v>#N/A</v>
      </c>
      <c r="J35" s="18" t="e">
        <f>INDEX(U:U,MATCH(A34,W:W,0))</f>
        <v>#N/A</v>
      </c>
      <c r="K35" s="19" t="s">
        <v>539</v>
      </c>
    </row>
    <row r="36" spans="1:11" x14ac:dyDescent="0.3">
      <c r="A36" t="s">
        <v>245</v>
      </c>
      <c r="B36" t="s">
        <v>131</v>
      </c>
      <c r="C36" t="s">
        <v>122</v>
      </c>
      <c r="D36" t="s">
        <v>15</v>
      </c>
      <c r="I36" s="17" t="e">
        <f>INDEX(N:N,MATCH(A36,O:O,0))/100</f>
        <v>#N/A</v>
      </c>
      <c r="J36" s="17" t="e">
        <f>INDEX(V:V,MATCH(A36,W:W,0))/100</f>
        <v>#N/A</v>
      </c>
      <c r="K36" s="18" t="s">
        <v>545</v>
      </c>
    </row>
    <row r="37" spans="1:11" x14ac:dyDescent="0.3">
      <c r="A37" t="s">
        <v>245</v>
      </c>
      <c r="B37" t="s">
        <v>131</v>
      </c>
      <c r="C37" t="s">
        <v>122</v>
      </c>
      <c r="D37" t="s">
        <v>15</v>
      </c>
      <c r="I37" s="18" t="e">
        <f>INDEX(M:M,MATCH(A36,O:O,0))</f>
        <v>#N/A</v>
      </c>
      <c r="J37" s="18" t="e">
        <f>INDEX(U:U,MATCH(A36,W:W,0))</f>
        <v>#N/A</v>
      </c>
      <c r="K37" s="19" t="s">
        <v>539</v>
      </c>
    </row>
    <row r="38" spans="1:11" x14ac:dyDescent="0.3">
      <c r="A38" s="12" t="s">
        <v>246</v>
      </c>
      <c r="B38" t="s">
        <v>131</v>
      </c>
      <c r="C38" t="s">
        <v>122</v>
      </c>
      <c r="D38" t="s">
        <v>20</v>
      </c>
      <c r="I38" s="17" t="e">
        <f>INDEX(N:N,MATCH(A38,O:O,0))/100</f>
        <v>#N/A</v>
      </c>
      <c r="J38" s="17" t="e">
        <f>INDEX(V:V,MATCH(A38,W:W,0))/100</f>
        <v>#N/A</v>
      </c>
      <c r="K38" s="18" t="s">
        <v>545</v>
      </c>
    </row>
    <row r="39" spans="1:11" x14ac:dyDescent="0.3">
      <c r="A39" s="12" t="s">
        <v>246</v>
      </c>
      <c r="B39" t="s">
        <v>131</v>
      </c>
      <c r="C39" t="s">
        <v>122</v>
      </c>
      <c r="D39" t="s">
        <v>20</v>
      </c>
      <c r="I39" s="18" t="e">
        <f>INDEX(M:M,MATCH(A38,O:O,0))</f>
        <v>#N/A</v>
      </c>
      <c r="J39" s="18" t="e">
        <f>INDEX(U:U,MATCH(A38,W:W,0))</f>
        <v>#N/A</v>
      </c>
      <c r="K39" s="19" t="s">
        <v>539</v>
      </c>
    </row>
    <row r="40" spans="1:11" x14ac:dyDescent="0.3">
      <c r="A40" t="s">
        <v>247</v>
      </c>
      <c r="B40" t="s">
        <v>131</v>
      </c>
      <c r="C40" t="s">
        <v>122</v>
      </c>
      <c r="D40" t="s">
        <v>42</v>
      </c>
      <c r="I40" s="17" t="e">
        <f>INDEX(N:N,MATCH(A40,O:O,0))/100</f>
        <v>#N/A</v>
      </c>
      <c r="J40" s="17" t="e">
        <f>INDEX(V:V,MATCH(A40,W:W,0))/100</f>
        <v>#N/A</v>
      </c>
      <c r="K40" s="18" t="s">
        <v>545</v>
      </c>
    </row>
    <row r="41" spans="1:11" x14ac:dyDescent="0.3">
      <c r="A41" t="s">
        <v>247</v>
      </c>
      <c r="B41" t="s">
        <v>131</v>
      </c>
      <c r="C41" t="s">
        <v>122</v>
      </c>
      <c r="D41" t="s">
        <v>42</v>
      </c>
      <c r="I41" s="18" t="e">
        <f>INDEX(M:M,MATCH(A40,O:O,0))</f>
        <v>#N/A</v>
      </c>
      <c r="J41" s="18" t="e">
        <f>INDEX(U:U,MATCH(A40,W:W,0))</f>
        <v>#N/A</v>
      </c>
      <c r="K41" s="19" t="s">
        <v>539</v>
      </c>
    </row>
    <row r="42" spans="1:11" x14ac:dyDescent="0.3">
      <c r="A42" t="s">
        <v>248</v>
      </c>
      <c r="B42" t="s">
        <v>131</v>
      </c>
      <c r="C42" t="s">
        <v>122</v>
      </c>
      <c r="D42" t="s">
        <v>33</v>
      </c>
      <c r="I42" s="17" t="e">
        <f>INDEX(N:N,MATCH(A42,O:O,0))/100</f>
        <v>#N/A</v>
      </c>
      <c r="J42" s="17" t="e">
        <f>INDEX(V:V,MATCH(A42,W:W,0))/100</f>
        <v>#N/A</v>
      </c>
      <c r="K42" s="18" t="s">
        <v>545</v>
      </c>
    </row>
    <row r="43" spans="1:11" x14ac:dyDescent="0.3">
      <c r="A43" t="s">
        <v>248</v>
      </c>
      <c r="B43" t="s">
        <v>131</v>
      </c>
      <c r="C43" t="s">
        <v>122</v>
      </c>
      <c r="D43" t="s">
        <v>33</v>
      </c>
      <c r="I43" s="18" t="e">
        <f>INDEX(M:M,MATCH(A42,O:O,0))</f>
        <v>#N/A</v>
      </c>
      <c r="J43" s="18" t="e">
        <f>INDEX(U:U,MATCH(A42,W:W,0))</f>
        <v>#N/A</v>
      </c>
      <c r="K43" s="19" t="s">
        <v>539</v>
      </c>
    </row>
    <row r="44" spans="1:11" x14ac:dyDescent="0.3">
      <c r="A44" t="s">
        <v>249</v>
      </c>
      <c r="B44" t="s">
        <v>131</v>
      </c>
      <c r="C44" t="s">
        <v>126</v>
      </c>
      <c r="D44" t="s">
        <v>5</v>
      </c>
      <c r="I44" s="17" t="e">
        <f>INDEX(N:N,MATCH(A44,O:O,0))/100</f>
        <v>#N/A</v>
      </c>
      <c r="J44" s="17" t="e">
        <f>INDEX(V:V,MATCH(A44,W:W,0))/100</f>
        <v>#N/A</v>
      </c>
      <c r="K44" s="18" t="s">
        <v>545</v>
      </c>
    </row>
    <row r="45" spans="1:11" x14ac:dyDescent="0.3">
      <c r="A45" t="s">
        <v>249</v>
      </c>
      <c r="B45" t="s">
        <v>131</v>
      </c>
      <c r="C45" t="s">
        <v>126</v>
      </c>
      <c r="D45" t="s">
        <v>5</v>
      </c>
      <c r="I45" s="18" t="e">
        <f>INDEX(M:M,MATCH(A44,O:O,0))</f>
        <v>#N/A</v>
      </c>
      <c r="J45" s="18" t="e">
        <f>INDEX(U:U,MATCH(A44,W:W,0))</f>
        <v>#N/A</v>
      </c>
      <c r="K45" s="19" t="s">
        <v>539</v>
      </c>
    </row>
    <row r="46" spans="1:11" x14ac:dyDescent="0.3">
      <c r="A46" t="s">
        <v>250</v>
      </c>
      <c r="B46" t="s">
        <v>131</v>
      </c>
      <c r="C46" t="s">
        <v>126</v>
      </c>
      <c r="D46" t="s">
        <v>6</v>
      </c>
      <c r="I46" s="17" t="e">
        <f>INDEX(N:N,MATCH(A46,O:O,0))/100</f>
        <v>#N/A</v>
      </c>
      <c r="J46" s="17" t="e">
        <f>INDEX(V:V,MATCH(A46,W:W,0))/100</f>
        <v>#N/A</v>
      </c>
      <c r="K46" s="18" t="s">
        <v>545</v>
      </c>
    </row>
    <row r="47" spans="1:11" x14ac:dyDescent="0.3">
      <c r="A47" t="s">
        <v>250</v>
      </c>
      <c r="B47" t="s">
        <v>131</v>
      </c>
      <c r="C47" t="s">
        <v>126</v>
      </c>
      <c r="D47" t="s">
        <v>6</v>
      </c>
      <c r="I47" s="18" t="e">
        <f>INDEX(M:M,MATCH(A46,O:O,0))</f>
        <v>#N/A</v>
      </c>
      <c r="J47" s="18" t="e">
        <f>INDEX(U:U,MATCH(A46,W:W,0))</f>
        <v>#N/A</v>
      </c>
      <c r="K47" s="19" t="s">
        <v>539</v>
      </c>
    </row>
    <row r="48" spans="1:11" x14ac:dyDescent="0.3">
      <c r="A48" t="s">
        <v>251</v>
      </c>
      <c r="B48" t="s">
        <v>131</v>
      </c>
      <c r="C48" t="s">
        <v>126</v>
      </c>
      <c r="D48" t="s">
        <v>7</v>
      </c>
      <c r="I48" s="17" t="e">
        <f>INDEX(N:N,MATCH(A48,O:O,0))/100</f>
        <v>#N/A</v>
      </c>
      <c r="J48" s="17" t="e">
        <f>INDEX(V:V,MATCH(A48,W:W,0))/100</f>
        <v>#N/A</v>
      </c>
      <c r="K48" s="18" t="s">
        <v>545</v>
      </c>
    </row>
    <row r="49" spans="1:11" x14ac:dyDescent="0.3">
      <c r="A49" t="s">
        <v>251</v>
      </c>
      <c r="B49" t="s">
        <v>131</v>
      </c>
      <c r="C49" t="s">
        <v>126</v>
      </c>
      <c r="D49" t="s">
        <v>7</v>
      </c>
      <c r="I49" s="18" t="e">
        <f>INDEX(M:M,MATCH(A48,O:O,0))</f>
        <v>#N/A</v>
      </c>
      <c r="J49" s="18" t="e">
        <f>INDEX(U:U,MATCH(A48,W:W,0))</f>
        <v>#N/A</v>
      </c>
      <c r="K49" s="19" t="s">
        <v>539</v>
      </c>
    </row>
    <row r="50" spans="1:11" x14ac:dyDescent="0.3">
      <c r="A50" t="s">
        <v>252</v>
      </c>
      <c r="B50" t="s">
        <v>131</v>
      </c>
      <c r="C50" t="s">
        <v>126</v>
      </c>
      <c r="D50" t="s">
        <v>8</v>
      </c>
      <c r="I50" s="17" t="e">
        <f>INDEX(N:N,MATCH(A50,O:O,0))/100</f>
        <v>#N/A</v>
      </c>
      <c r="J50" s="17" t="e">
        <f>INDEX(V:V,MATCH(A50,W:W,0))/100</f>
        <v>#N/A</v>
      </c>
      <c r="K50" s="18" t="s">
        <v>545</v>
      </c>
    </row>
    <row r="51" spans="1:11" x14ac:dyDescent="0.3">
      <c r="A51" t="s">
        <v>252</v>
      </c>
      <c r="B51" t="s">
        <v>131</v>
      </c>
      <c r="C51" t="s">
        <v>126</v>
      </c>
      <c r="D51" t="s">
        <v>8</v>
      </c>
      <c r="I51" s="18" t="e">
        <f>INDEX(M:M,MATCH(A50,O:O,0))</f>
        <v>#N/A</v>
      </c>
      <c r="J51" s="18" t="e">
        <f>INDEX(U:U,MATCH(A50,W:W,0))</f>
        <v>#N/A</v>
      </c>
      <c r="K51" s="19" t="s">
        <v>539</v>
      </c>
    </row>
    <row r="52" spans="1:11" x14ac:dyDescent="0.3">
      <c r="A52" t="s">
        <v>253</v>
      </c>
      <c r="B52" t="s">
        <v>131</v>
      </c>
      <c r="C52" t="s">
        <v>126</v>
      </c>
      <c r="D52" t="s">
        <v>9</v>
      </c>
      <c r="I52" s="17" t="e">
        <f>INDEX(N:N,MATCH(A52,O:O,0))/100</f>
        <v>#N/A</v>
      </c>
      <c r="J52" s="17" t="e">
        <f>INDEX(V:V,MATCH(A52,W:W,0))/100</f>
        <v>#N/A</v>
      </c>
      <c r="K52" s="18" t="s">
        <v>545</v>
      </c>
    </row>
    <row r="53" spans="1:11" x14ac:dyDescent="0.3">
      <c r="A53" t="s">
        <v>253</v>
      </c>
      <c r="B53" t="s">
        <v>131</v>
      </c>
      <c r="C53" t="s">
        <v>126</v>
      </c>
      <c r="D53" t="s">
        <v>9</v>
      </c>
      <c r="I53" s="18" t="e">
        <f>INDEX(M:M,MATCH(A52,O:O,0))</f>
        <v>#N/A</v>
      </c>
      <c r="J53" s="18" t="e">
        <f>INDEX(U:U,MATCH(A52,W:W,0))</f>
        <v>#N/A</v>
      </c>
      <c r="K53" s="19" t="s">
        <v>539</v>
      </c>
    </row>
    <row r="54" spans="1:11" x14ac:dyDescent="0.3">
      <c r="A54" t="s">
        <v>254</v>
      </c>
      <c r="B54" t="s">
        <v>131</v>
      </c>
      <c r="C54" t="s">
        <v>126</v>
      </c>
      <c r="D54" t="s">
        <v>10</v>
      </c>
      <c r="I54" s="17" t="e">
        <f>INDEX(N:N,MATCH(A54,O:O,0))/100</f>
        <v>#N/A</v>
      </c>
      <c r="J54" s="17" t="e">
        <f>INDEX(V:V,MATCH(A54,W:W,0))/100</f>
        <v>#N/A</v>
      </c>
      <c r="K54" s="18" t="s">
        <v>545</v>
      </c>
    </row>
    <row r="55" spans="1:11" x14ac:dyDescent="0.3">
      <c r="A55" t="s">
        <v>254</v>
      </c>
      <c r="B55" t="s">
        <v>131</v>
      </c>
      <c r="C55" t="s">
        <v>126</v>
      </c>
      <c r="D55" t="s">
        <v>10</v>
      </c>
      <c r="I55" s="18" t="e">
        <f>INDEX(M:M,MATCH(A54,O:O,0))</f>
        <v>#N/A</v>
      </c>
      <c r="J55" s="18" t="e">
        <f>INDEX(U:U,MATCH(A54,W:W,0))</f>
        <v>#N/A</v>
      </c>
      <c r="K55" s="19" t="s">
        <v>539</v>
      </c>
    </row>
    <row r="56" spans="1:11" x14ac:dyDescent="0.3">
      <c r="A56" t="s">
        <v>255</v>
      </c>
      <c r="B56" t="s">
        <v>131</v>
      </c>
      <c r="C56" t="s">
        <v>126</v>
      </c>
      <c r="D56" t="s">
        <v>13</v>
      </c>
      <c r="I56" s="17" t="e">
        <f>INDEX(N:N,MATCH(A56,O:O,0))/100</f>
        <v>#N/A</v>
      </c>
      <c r="J56" s="17" t="e">
        <f>INDEX(V:V,MATCH(A56,W:W,0))/100</f>
        <v>#N/A</v>
      </c>
      <c r="K56" s="18" t="s">
        <v>545</v>
      </c>
    </row>
    <row r="57" spans="1:11" x14ac:dyDescent="0.3">
      <c r="A57" t="s">
        <v>255</v>
      </c>
      <c r="B57" t="s">
        <v>131</v>
      </c>
      <c r="C57" t="s">
        <v>126</v>
      </c>
      <c r="D57" t="s">
        <v>13</v>
      </c>
      <c r="I57" s="18" t="e">
        <f>INDEX(M:M,MATCH(A56,O:O,0))</f>
        <v>#N/A</v>
      </c>
      <c r="J57" s="18" t="e">
        <f>INDEX(U:U,MATCH(A56,W:W,0))</f>
        <v>#N/A</v>
      </c>
      <c r="K57" s="19" t="s">
        <v>539</v>
      </c>
    </row>
    <row r="58" spans="1:11" x14ac:dyDescent="0.3">
      <c r="A58" t="s">
        <v>256</v>
      </c>
      <c r="B58" t="s">
        <v>131</v>
      </c>
      <c r="C58" t="s">
        <v>126</v>
      </c>
      <c r="D58" t="s">
        <v>14</v>
      </c>
      <c r="I58" s="17" t="e">
        <f>INDEX(N:N,MATCH(A58,O:O,0))/100</f>
        <v>#N/A</v>
      </c>
      <c r="J58" s="17" t="e">
        <f>INDEX(V:V,MATCH(A58,W:W,0))/100</f>
        <v>#N/A</v>
      </c>
      <c r="K58" s="18" t="s">
        <v>545</v>
      </c>
    </row>
    <row r="59" spans="1:11" x14ac:dyDescent="0.3">
      <c r="A59" t="s">
        <v>256</v>
      </c>
      <c r="B59" t="s">
        <v>131</v>
      </c>
      <c r="C59" t="s">
        <v>126</v>
      </c>
      <c r="D59" t="s">
        <v>14</v>
      </c>
      <c r="I59" s="18" t="e">
        <f>INDEX(M:M,MATCH(A58,O:O,0))</f>
        <v>#N/A</v>
      </c>
      <c r="J59" s="18" t="e">
        <f>INDEX(U:U,MATCH(A58,W:W,0))</f>
        <v>#N/A</v>
      </c>
      <c r="K59" s="19" t="s">
        <v>539</v>
      </c>
    </row>
    <row r="60" spans="1:11" x14ac:dyDescent="0.3">
      <c r="A60" t="s">
        <v>257</v>
      </c>
      <c r="B60" t="s">
        <v>131</v>
      </c>
      <c r="C60" t="s">
        <v>126</v>
      </c>
      <c r="D60" t="s">
        <v>11</v>
      </c>
      <c r="I60" s="17" t="e">
        <f>INDEX(N:N,MATCH(A60,O:O,0))/100</f>
        <v>#N/A</v>
      </c>
      <c r="J60" s="17" t="e">
        <f>INDEX(V:V,MATCH(A60,W:W,0))/100</f>
        <v>#N/A</v>
      </c>
      <c r="K60" s="18" t="s">
        <v>545</v>
      </c>
    </row>
    <row r="61" spans="1:11" x14ac:dyDescent="0.3">
      <c r="A61" t="s">
        <v>257</v>
      </c>
      <c r="B61" t="s">
        <v>131</v>
      </c>
      <c r="C61" t="s">
        <v>126</v>
      </c>
      <c r="D61" t="s">
        <v>11</v>
      </c>
      <c r="I61" s="18" t="e">
        <f>INDEX(M:M,MATCH(A60,O:O,0))</f>
        <v>#N/A</v>
      </c>
      <c r="J61" s="18" t="e">
        <f>INDEX(U:U,MATCH(A60,W:W,0))</f>
        <v>#N/A</v>
      </c>
      <c r="K61" s="19" t="s">
        <v>539</v>
      </c>
    </row>
    <row r="62" spans="1:11" x14ac:dyDescent="0.3">
      <c r="A62" t="s">
        <v>258</v>
      </c>
      <c r="B62" t="s">
        <v>131</v>
      </c>
      <c r="C62" t="s">
        <v>126</v>
      </c>
      <c r="D62" t="s">
        <v>23</v>
      </c>
      <c r="I62" s="17" t="e">
        <f>INDEX(N:N,MATCH(A62,O:O,0))/100</f>
        <v>#N/A</v>
      </c>
      <c r="J62" s="17" t="e">
        <f>INDEX(V:V,MATCH(A62,W:W,0))/100</f>
        <v>#N/A</v>
      </c>
      <c r="K62" s="18" t="s">
        <v>545</v>
      </c>
    </row>
    <row r="63" spans="1:11" x14ac:dyDescent="0.3">
      <c r="A63" t="s">
        <v>258</v>
      </c>
      <c r="B63" t="s">
        <v>131</v>
      </c>
      <c r="C63" t="s">
        <v>126</v>
      </c>
      <c r="D63" t="s">
        <v>23</v>
      </c>
      <c r="I63" s="18" t="e">
        <f>INDEX(M:M,MATCH(A62,O:O,0))</f>
        <v>#N/A</v>
      </c>
      <c r="J63" s="18" t="e">
        <f>INDEX(U:U,MATCH(A62,W:W,0))</f>
        <v>#N/A</v>
      </c>
      <c r="K63" s="19" t="s">
        <v>539</v>
      </c>
    </row>
    <row r="64" spans="1:11" x14ac:dyDescent="0.3">
      <c r="A64" t="s">
        <v>259</v>
      </c>
      <c r="B64" t="s">
        <v>131</v>
      </c>
      <c r="C64" t="s">
        <v>126</v>
      </c>
      <c r="D64" t="s">
        <v>24</v>
      </c>
      <c r="I64" s="17" t="e">
        <f>INDEX(N:N,MATCH(A64,O:O,0))/100</f>
        <v>#N/A</v>
      </c>
      <c r="J64" s="17" t="e">
        <f>INDEX(V:V,MATCH(A64,W:W,0))/100</f>
        <v>#N/A</v>
      </c>
      <c r="K64" s="18" t="s">
        <v>545</v>
      </c>
    </row>
    <row r="65" spans="1:11" x14ac:dyDescent="0.3">
      <c r="A65" t="s">
        <v>259</v>
      </c>
      <c r="B65" t="s">
        <v>131</v>
      </c>
      <c r="C65" t="s">
        <v>126</v>
      </c>
      <c r="D65" t="s">
        <v>24</v>
      </c>
      <c r="I65" s="18" t="e">
        <f>INDEX(M:M,MATCH(A64,O:O,0))</f>
        <v>#N/A</v>
      </c>
      <c r="J65" s="18" t="e">
        <f>INDEX(U:U,MATCH(A64,W:W,0))</f>
        <v>#N/A</v>
      </c>
      <c r="K65" s="19" t="s">
        <v>539</v>
      </c>
    </row>
    <row r="66" spans="1:11" x14ac:dyDescent="0.3">
      <c r="A66" t="s">
        <v>260</v>
      </c>
      <c r="B66" t="s">
        <v>131</v>
      </c>
      <c r="C66" t="s">
        <v>126</v>
      </c>
      <c r="D66" t="s">
        <v>25</v>
      </c>
      <c r="I66" s="17" t="e">
        <f>INDEX(N:N,MATCH(A66,O:O,0))/100</f>
        <v>#N/A</v>
      </c>
      <c r="J66" s="17" t="e">
        <f>INDEX(V:V,MATCH(A66,W:W,0))/100</f>
        <v>#N/A</v>
      </c>
      <c r="K66" s="18" t="s">
        <v>545</v>
      </c>
    </row>
    <row r="67" spans="1:11" x14ac:dyDescent="0.3">
      <c r="A67" t="s">
        <v>260</v>
      </c>
      <c r="B67" t="s">
        <v>131</v>
      </c>
      <c r="C67" t="s">
        <v>126</v>
      </c>
      <c r="D67" t="s">
        <v>25</v>
      </c>
      <c r="I67" s="18" t="e">
        <f>INDEX(M:M,MATCH(A66,O:O,0))</f>
        <v>#N/A</v>
      </c>
      <c r="J67" s="18" t="e">
        <f>INDEX(U:U,MATCH(A66,W:W,0))</f>
        <v>#N/A</v>
      </c>
      <c r="K67" s="19" t="s">
        <v>539</v>
      </c>
    </row>
    <row r="68" spans="1:11" x14ac:dyDescent="0.3">
      <c r="A68" t="s">
        <v>261</v>
      </c>
      <c r="B68" t="s">
        <v>131</v>
      </c>
      <c r="C68" t="s">
        <v>126</v>
      </c>
      <c r="D68" t="s">
        <v>26</v>
      </c>
      <c r="I68" s="17" t="e">
        <f>INDEX(N:N,MATCH(A68,O:O,0))/100</f>
        <v>#N/A</v>
      </c>
      <c r="J68" s="17" t="e">
        <f>INDEX(V:V,MATCH(A68,W:W,0))/100</f>
        <v>#N/A</v>
      </c>
      <c r="K68" s="18" t="s">
        <v>545</v>
      </c>
    </row>
    <row r="69" spans="1:11" x14ac:dyDescent="0.3">
      <c r="A69" t="s">
        <v>261</v>
      </c>
      <c r="B69" t="s">
        <v>131</v>
      </c>
      <c r="C69" t="s">
        <v>126</v>
      </c>
      <c r="D69" t="s">
        <v>26</v>
      </c>
      <c r="I69" s="18" t="e">
        <f>INDEX(M:M,MATCH(A68,O:O,0))</f>
        <v>#N/A</v>
      </c>
      <c r="J69" s="18" t="e">
        <f>INDEX(U:U,MATCH(A68,W:W,0))</f>
        <v>#N/A</v>
      </c>
      <c r="K69" s="19" t="s">
        <v>539</v>
      </c>
    </row>
    <row r="70" spans="1:11" x14ac:dyDescent="0.3">
      <c r="A70" t="s">
        <v>262</v>
      </c>
      <c r="B70" t="s">
        <v>131</v>
      </c>
      <c r="C70" t="s">
        <v>126</v>
      </c>
      <c r="D70" t="s">
        <v>27</v>
      </c>
      <c r="I70" s="17" t="e">
        <f>INDEX(N:N,MATCH(A70,O:O,0))/100</f>
        <v>#N/A</v>
      </c>
      <c r="J70" s="17" t="e">
        <f>INDEX(V:V,MATCH(A70,W:W,0))/100</f>
        <v>#N/A</v>
      </c>
      <c r="K70" s="18" t="s">
        <v>545</v>
      </c>
    </row>
    <row r="71" spans="1:11" x14ac:dyDescent="0.3">
      <c r="A71" t="s">
        <v>262</v>
      </c>
      <c r="B71" t="s">
        <v>131</v>
      </c>
      <c r="C71" t="s">
        <v>126</v>
      </c>
      <c r="D71" t="s">
        <v>27</v>
      </c>
      <c r="I71" s="18" t="e">
        <f>INDEX(M:M,MATCH(A70,O:O,0))</f>
        <v>#N/A</v>
      </c>
      <c r="J71" s="18" t="e">
        <f>INDEX(U:U,MATCH(A70,W:W,0))</f>
        <v>#N/A</v>
      </c>
      <c r="K71" s="19" t="s">
        <v>539</v>
      </c>
    </row>
    <row r="72" spans="1:11" x14ac:dyDescent="0.3">
      <c r="A72" t="s">
        <v>263</v>
      </c>
      <c r="B72" t="s">
        <v>131</v>
      </c>
      <c r="C72" t="s">
        <v>126</v>
      </c>
      <c r="D72" t="s">
        <v>32</v>
      </c>
      <c r="I72" s="17" t="e">
        <f>INDEX(N:N,MATCH(A72,O:O,0))/100</f>
        <v>#N/A</v>
      </c>
      <c r="J72" s="17" t="e">
        <f>INDEX(V:V,MATCH(A72,W:W,0))/100</f>
        <v>#N/A</v>
      </c>
      <c r="K72" s="18" t="s">
        <v>545</v>
      </c>
    </row>
    <row r="73" spans="1:11" x14ac:dyDescent="0.3">
      <c r="A73" t="s">
        <v>263</v>
      </c>
      <c r="B73" t="s">
        <v>131</v>
      </c>
      <c r="C73" t="s">
        <v>126</v>
      </c>
      <c r="D73" t="s">
        <v>32</v>
      </c>
      <c r="I73" s="18" t="e">
        <f>INDEX(M:M,MATCH(A72,O:O,0))</f>
        <v>#N/A</v>
      </c>
      <c r="J73" s="18" t="e">
        <f>INDEX(U:U,MATCH(A72,W:W,0))</f>
        <v>#N/A</v>
      </c>
      <c r="K73" s="19" t="s">
        <v>539</v>
      </c>
    </row>
    <row r="74" spans="1:11" x14ac:dyDescent="0.3">
      <c r="A74" t="s">
        <v>264</v>
      </c>
      <c r="B74" t="s">
        <v>131</v>
      </c>
      <c r="C74" t="s">
        <v>126</v>
      </c>
      <c r="D74" t="s">
        <v>37</v>
      </c>
      <c r="I74" s="17" t="e">
        <f>INDEX(N:N,MATCH(A74,O:O,0))/100</f>
        <v>#N/A</v>
      </c>
      <c r="J74" s="17" t="e">
        <f>INDEX(V:V,MATCH(A74,W:W,0))/100</f>
        <v>#N/A</v>
      </c>
      <c r="K74" s="18" t="s">
        <v>545</v>
      </c>
    </row>
    <row r="75" spans="1:11" x14ac:dyDescent="0.3">
      <c r="A75" t="s">
        <v>264</v>
      </c>
      <c r="B75" t="s">
        <v>131</v>
      </c>
      <c r="C75" t="s">
        <v>126</v>
      </c>
      <c r="D75" t="s">
        <v>37</v>
      </c>
      <c r="I75" s="18" t="e">
        <f>INDEX(M:M,MATCH(A74,O:O,0))</f>
        <v>#N/A</v>
      </c>
      <c r="J75" s="18" t="e">
        <f>INDEX(U:U,MATCH(A74,W:W,0))</f>
        <v>#N/A</v>
      </c>
      <c r="K75" s="19" t="s">
        <v>539</v>
      </c>
    </row>
    <row r="76" spans="1:11" x14ac:dyDescent="0.3">
      <c r="A76" t="s">
        <v>265</v>
      </c>
      <c r="B76" t="s">
        <v>131</v>
      </c>
      <c r="C76" t="s">
        <v>126</v>
      </c>
      <c r="D76" t="s">
        <v>29</v>
      </c>
      <c r="I76" s="17" t="e">
        <f>INDEX(N:N,MATCH(A76,O:O,0))/100</f>
        <v>#N/A</v>
      </c>
      <c r="J76" s="17" t="e">
        <f>INDEX(V:V,MATCH(A76,W:W,0))/100</f>
        <v>#N/A</v>
      </c>
      <c r="K76" s="18" t="s">
        <v>545</v>
      </c>
    </row>
    <row r="77" spans="1:11" x14ac:dyDescent="0.3">
      <c r="A77" t="s">
        <v>265</v>
      </c>
      <c r="B77" t="s">
        <v>131</v>
      </c>
      <c r="C77" t="s">
        <v>126</v>
      </c>
      <c r="D77" t="s">
        <v>29</v>
      </c>
      <c r="I77" s="18" t="e">
        <f>INDEX(M:M,MATCH(A76,O:O,0))</f>
        <v>#N/A</v>
      </c>
      <c r="J77" s="18" t="e">
        <f>INDEX(U:U,MATCH(A76,W:W,0))</f>
        <v>#N/A</v>
      </c>
      <c r="K77" s="19" t="s">
        <v>539</v>
      </c>
    </row>
    <row r="78" spans="1:11" x14ac:dyDescent="0.3">
      <c r="A78" t="s">
        <v>266</v>
      </c>
      <c r="B78" t="s">
        <v>131</v>
      </c>
      <c r="C78" t="s">
        <v>126</v>
      </c>
      <c r="D78" t="s">
        <v>15</v>
      </c>
      <c r="I78" s="17" t="e">
        <f>INDEX(N:N,MATCH(A78,O:O,0))/100</f>
        <v>#N/A</v>
      </c>
      <c r="J78" s="17" t="e">
        <f>INDEX(V:V,MATCH(A78,W:W,0))/100</f>
        <v>#N/A</v>
      </c>
      <c r="K78" s="18" t="s">
        <v>545</v>
      </c>
    </row>
    <row r="79" spans="1:11" x14ac:dyDescent="0.3">
      <c r="A79" t="s">
        <v>266</v>
      </c>
      <c r="B79" t="s">
        <v>131</v>
      </c>
      <c r="C79" t="s">
        <v>126</v>
      </c>
      <c r="D79" t="s">
        <v>15</v>
      </c>
      <c r="I79" s="18" t="e">
        <f>INDEX(M:M,MATCH(A78,O:O,0))</f>
        <v>#N/A</v>
      </c>
      <c r="J79" s="18" t="e">
        <f>INDEX(U:U,MATCH(A78,W:W,0))</f>
        <v>#N/A</v>
      </c>
      <c r="K79" s="19" t="s">
        <v>539</v>
      </c>
    </row>
    <row r="80" spans="1:11" x14ac:dyDescent="0.3">
      <c r="A80" t="s">
        <v>267</v>
      </c>
      <c r="B80" t="s">
        <v>131</v>
      </c>
      <c r="C80" t="s">
        <v>126</v>
      </c>
      <c r="D80" t="s">
        <v>20</v>
      </c>
      <c r="I80" s="17" t="e">
        <f>INDEX(N:N,MATCH(A80,O:O,0))/100</f>
        <v>#N/A</v>
      </c>
      <c r="J80" s="17" t="e">
        <f>INDEX(V:V,MATCH(A80,W:W,0))/100</f>
        <v>#N/A</v>
      </c>
      <c r="K80" s="18" t="s">
        <v>545</v>
      </c>
    </row>
    <row r="81" spans="1:11" x14ac:dyDescent="0.3">
      <c r="A81" t="s">
        <v>267</v>
      </c>
      <c r="B81" t="s">
        <v>131</v>
      </c>
      <c r="C81" t="s">
        <v>126</v>
      </c>
      <c r="D81" t="s">
        <v>20</v>
      </c>
      <c r="I81" s="18" t="e">
        <f>INDEX(M:M,MATCH(A80,O:O,0))</f>
        <v>#N/A</v>
      </c>
      <c r="J81" s="18" t="e">
        <f>INDEX(U:U,MATCH(A80,W:W,0))</f>
        <v>#N/A</v>
      </c>
      <c r="K81" s="19" t="s">
        <v>539</v>
      </c>
    </row>
    <row r="82" spans="1:11" x14ac:dyDescent="0.3">
      <c r="A82" t="s">
        <v>268</v>
      </c>
      <c r="B82" t="s">
        <v>131</v>
      </c>
      <c r="C82" t="s">
        <v>126</v>
      </c>
      <c r="D82" t="s">
        <v>42</v>
      </c>
      <c r="I82" s="17" t="e">
        <f>INDEX(N:N,MATCH(A82,O:O,0))/100</f>
        <v>#N/A</v>
      </c>
      <c r="J82" s="17" t="e">
        <f>INDEX(V:V,MATCH(A82,W:W,0))/100</f>
        <v>#N/A</v>
      </c>
      <c r="K82" s="18" t="s">
        <v>545</v>
      </c>
    </row>
    <row r="83" spans="1:11" x14ac:dyDescent="0.3">
      <c r="A83" t="s">
        <v>268</v>
      </c>
      <c r="B83" t="s">
        <v>131</v>
      </c>
      <c r="C83" t="s">
        <v>126</v>
      </c>
      <c r="D83" t="s">
        <v>42</v>
      </c>
      <c r="I83" s="18" t="e">
        <f>INDEX(M:M,MATCH(A82,O:O,0))</f>
        <v>#N/A</v>
      </c>
      <c r="J83" s="18" t="e">
        <f>INDEX(U:U,MATCH(A82,W:W,0))</f>
        <v>#N/A</v>
      </c>
      <c r="K83" s="19" t="s">
        <v>539</v>
      </c>
    </row>
    <row r="84" spans="1:11" x14ac:dyDescent="0.3">
      <c r="A84" t="s">
        <v>269</v>
      </c>
      <c r="B84" t="s">
        <v>131</v>
      </c>
      <c r="C84" t="s">
        <v>126</v>
      </c>
      <c r="D84" t="s">
        <v>33</v>
      </c>
      <c r="I84" s="17" t="e">
        <f>INDEX(N:N,MATCH(A84,O:O,0))/100</f>
        <v>#N/A</v>
      </c>
      <c r="J84" s="17" t="e">
        <f>INDEX(V:V,MATCH(A84,W:W,0))/100</f>
        <v>#N/A</v>
      </c>
      <c r="K84" s="18" t="s">
        <v>545</v>
      </c>
    </row>
    <row r="85" spans="1:11" x14ac:dyDescent="0.3">
      <c r="A85" t="s">
        <v>269</v>
      </c>
      <c r="B85" t="s">
        <v>131</v>
      </c>
      <c r="C85" t="s">
        <v>126</v>
      </c>
      <c r="D85" t="s">
        <v>33</v>
      </c>
      <c r="I85" s="18" t="e">
        <f>INDEX(M:M,MATCH(A84,O:O,0))</f>
        <v>#N/A</v>
      </c>
      <c r="J85" s="18" t="e">
        <f>INDEX(U:U,MATCH(A84,W:W,0))</f>
        <v>#N/A</v>
      </c>
      <c r="K85" s="19" t="s">
        <v>539</v>
      </c>
    </row>
    <row r="86" spans="1:11" x14ac:dyDescent="0.3">
      <c r="A86" t="s">
        <v>270</v>
      </c>
      <c r="B86" t="s">
        <v>131</v>
      </c>
      <c r="C86" t="s">
        <v>119</v>
      </c>
      <c r="D86" t="s">
        <v>5</v>
      </c>
      <c r="I86" s="17" t="e">
        <f>INDEX(N:N,MATCH(A86,O:O,0))/100</f>
        <v>#N/A</v>
      </c>
      <c r="J86" s="17" t="e">
        <f>INDEX(V:V,MATCH(A86,W:W,0))/100</f>
        <v>#N/A</v>
      </c>
      <c r="K86" s="18" t="s">
        <v>545</v>
      </c>
    </row>
    <row r="87" spans="1:11" x14ac:dyDescent="0.3">
      <c r="A87" t="s">
        <v>270</v>
      </c>
      <c r="B87" t="s">
        <v>131</v>
      </c>
      <c r="C87" t="s">
        <v>119</v>
      </c>
      <c r="D87" t="s">
        <v>5</v>
      </c>
      <c r="I87" s="18" t="e">
        <f>INDEX(M:M,MATCH(A86,O:O,0))</f>
        <v>#N/A</v>
      </c>
      <c r="J87" s="18" t="e">
        <f>INDEX(U:U,MATCH(A86,W:W,0))</f>
        <v>#N/A</v>
      </c>
      <c r="K87" s="19" t="s">
        <v>539</v>
      </c>
    </row>
    <row r="88" spans="1:11" x14ac:dyDescent="0.3">
      <c r="A88" t="s">
        <v>271</v>
      </c>
      <c r="B88" t="s">
        <v>131</v>
      </c>
      <c r="C88" t="s">
        <v>119</v>
      </c>
      <c r="D88" t="s">
        <v>6</v>
      </c>
      <c r="I88" s="17" t="e">
        <f>INDEX(N:N,MATCH(A88,O:O,0))/100</f>
        <v>#N/A</v>
      </c>
      <c r="J88" s="17" t="e">
        <f>INDEX(V:V,MATCH(A88,W:W,0))/100</f>
        <v>#N/A</v>
      </c>
      <c r="K88" s="18" t="s">
        <v>545</v>
      </c>
    </row>
    <row r="89" spans="1:11" x14ac:dyDescent="0.3">
      <c r="A89" t="s">
        <v>271</v>
      </c>
      <c r="B89" t="s">
        <v>131</v>
      </c>
      <c r="C89" t="s">
        <v>119</v>
      </c>
      <c r="D89" t="s">
        <v>6</v>
      </c>
      <c r="I89" s="18" t="e">
        <f>INDEX(M:M,MATCH(A88,O:O,0))</f>
        <v>#N/A</v>
      </c>
      <c r="J89" s="18" t="e">
        <f>INDEX(U:U,MATCH(A88,W:W,0))</f>
        <v>#N/A</v>
      </c>
      <c r="K89" s="19" t="s">
        <v>539</v>
      </c>
    </row>
    <row r="90" spans="1:11" x14ac:dyDescent="0.3">
      <c r="A90" t="s">
        <v>272</v>
      </c>
      <c r="B90" t="s">
        <v>131</v>
      </c>
      <c r="C90" t="s">
        <v>119</v>
      </c>
      <c r="D90" t="s">
        <v>7</v>
      </c>
      <c r="I90" s="17" t="e">
        <f>INDEX(N:N,MATCH(A90,O:O,0))/100</f>
        <v>#N/A</v>
      </c>
      <c r="J90" s="17" t="e">
        <f>INDEX(V:V,MATCH(A90,W:W,0))/100</f>
        <v>#N/A</v>
      </c>
      <c r="K90" s="18" t="s">
        <v>545</v>
      </c>
    </row>
    <row r="91" spans="1:11" x14ac:dyDescent="0.3">
      <c r="A91" t="s">
        <v>272</v>
      </c>
      <c r="B91" t="s">
        <v>131</v>
      </c>
      <c r="C91" t="s">
        <v>119</v>
      </c>
      <c r="D91" t="s">
        <v>7</v>
      </c>
      <c r="I91" s="18" t="e">
        <f>INDEX(M:M,MATCH(A90,O:O,0))</f>
        <v>#N/A</v>
      </c>
      <c r="J91" s="18" t="e">
        <f>INDEX(U:U,MATCH(A90,W:W,0))</f>
        <v>#N/A</v>
      </c>
      <c r="K91" s="19" t="s">
        <v>539</v>
      </c>
    </row>
    <row r="92" spans="1:11" x14ac:dyDescent="0.3">
      <c r="A92" t="s">
        <v>273</v>
      </c>
      <c r="B92" t="s">
        <v>131</v>
      </c>
      <c r="C92" t="s">
        <v>119</v>
      </c>
      <c r="D92" t="s">
        <v>8</v>
      </c>
      <c r="I92" s="17" t="e">
        <f>INDEX(N:N,MATCH(A92,O:O,0))/100</f>
        <v>#N/A</v>
      </c>
      <c r="J92" s="17" t="e">
        <f>INDEX(V:V,MATCH(A92,W:W,0))/100</f>
        <v>#N/A</v>
      </c>
      <c r="K92" s="18" t="s">
        <v>545</v>
      </c>
    </row>
    <row r="93" spans="1:11" x14ac:dyDescent="0.3">
      <c r="A93" t="s">
        <v>273</v>
      </c>
      <c r="B93" t="s">
        <v>131</v>
      </c>
      <c r="C93" t="s">
        <v>119</v>
      </c>
      <c r="D93" t="s">
        <v>8</v>
      </c>
      <c r="I93" s="18" t="e">
        <f>INDEX(M:M,MATCH(A92,O:O,0))</f>
        <v>#N/A</v>
      </c>
      <c r="J93" s="18" t="e">
        <f>INDEX(U:U,MATCH(A92,W:W,0))</f>
        <v>#N/A</v>
      </c>
      <c r="K93" s="19" t="s">
        <v>539</v>
      </c>
    </row>
    <row r="94" spans="1:11" x14ac:dyDescent="0.3">
      <c r="A94" t="s">
        <v>274</v>
      </c>
      <c r="B94" t="s">
        <v>131</v>
      </c>
      <c r="C94" t="s">
        <v>119</v>
      </c>
      <c r="D94" t="s">
        <v>9</v>
      </c>
      <c r="I94" s="17" t="e">
        <f>INDEX(N:N,MATCH(A94,O:O,0))/100</f>
        <v>#N/A</v>
      </c>
      <c r="J94" s="17" t="e">
        <f>INDEX(V:V,MATCH(A94,W:W,0))/100</f>
        <v>#N/A</v>
      </c>
      <c r="K94" s="18" t="s">
        <v>545</v>
      </c>
    </row>
    <row r="95" spans="1:11" x14ac:dyDescent="0.3">
      <c r="A95" t="s">
        <v>274</v>
      </c>
      <c r="B95" t="s">
        <v>131</v>
      </c>
      <c r="C95" t="s">
        <v>119</v>
      </c>
      <c r="D95" t="s">
        <v>9</v>
      </c>
      <c r="I95" s="18" t="e">
        <f>INDEX(M:M,MATCH(A94,O:O,0))</f>
        <v>#N/A</v>
      </c>
      <c r="J95" s="18" t="e">
        <f>INDEX(U:U,MATCH(A94,W:W,0))</f>
        <v>#N/A</v>
      </c>
      <c r="K95" s="19" t="s">
        <v>539</v>
      </c>
    </row>
    <row r="96" spans="1:11" x14ac:dyDescent="0.3">
      <c r="A96" t="s">
        <v>275</v>
      </c>
      <c r="B96" t="s">
        <v>131</v>
      </c>
      <c r="C96" t="s">
        <v>119</v>
      </c>
      <c r="D96" t="s">
        <v>10</v>
      </c>
      <c r="I96" s="17" t="e">
        <f>INDEX(N:N,MATCH(A96,O:O,0))/100</f>
        <v>#N/A</v>
      </c>
      <c r="J96" s="17" t="e">
        <f>INDEX(V:V,MATCH(A96,W:W,0))/100</f>
        <v>#N/A</v>
      </c>
      <c r="K96" s="18" t="s">
        <v>545</v>
      </c>
    </row>
    <row r="97" spans="1:11" x14ac:dyDescent="0.3">
      <c r="A97" t="s">
        <v>275</v>
      </c>
      <c r="B97" t="s">
        <v>131</v>
      </c>
      <c r="C97" t="s">
        <v>119</v>
      </c>
      <c r="D97" t="s">
        <v>10</v>
      </c>
      <c r="I97" s="18" t="e">
        <f>INDEX(M:M,MATCH(A96,O:O,0))</f>
        <v>#N/A</v>
      </c>
      <c r="J97" s="18" t="e">
        <f>INDEX(U:U,MATCH(A96,W:W,0))</f>
        <v>#N/A</v>
      </c>
      <c r="K97" s="19" t="s">
        <v>539</v>
      </c>
    </row>
    <row r="98" spans="1:11" x14ac:dyDescent="0.3">
      <c r="A98" t="s">
        <v>276</v>
      </c>
      <c r="B98" t="s">
        <v>131</v>
      </c>
      <c r="C98" t="s">
        <v>119</v>
      </c>
      <c r="D98" t="s">
        <v>13</v>
      </c>
      <c r="I98" s="17" t="e">
        <f>INDEX(N:N,MATCH(A98,O:O,0))/100</f>
        <v>#N/A</v>
      </c>
      <c r="J98" s="17" t="e">
        <f>INDEX(V:V,MATCH(A98,W:W,0))/100</f>
        <v>#N/A</v>
      </c>
      <c r="K98" s="18" t="s">
        <v>545</v>
      </c>
    </row>
    <row r="99" spans="1:11" x14ac:dyDescent="0.3">
      <c r="A99" t="s">
        <v>276</v>
      </c>
      <c r="B99" t="s">
        <v>131</v>
      </c>
      <c r="C99" t="s">
        <v>119</v>
      </c>
      <c r="D99" t="s">
        <v>13</v>
      </c>
      <c r="I99" s="18" t="e">
        <f>INDEX(M:M,MATCH(A98,O:O,0))</f>
        <v>#N/A</v>
      </c>
      <c r="J99" s="18" t="e">
        <f>INDEX(U:U,MATCH(A98,W:W,0))</f>
        <v>#N/A</v>
      </c>
      <c r="K99" s="19" t="s">
        <v>539</v>
      </c>
    </row>
    <row r="100" spans="1:11" x14ac:dyDescent="0.3">
      <c r="A100" t="s">
        <v>277</v>
      </c>
      <c r="B100" t="s">
        <v>131</v>
      </c>
      <c r="C100" t="s">
        <v>119</v>
      </c>
      <c r="D100" t="s">
        <v>14</v>
      </c>
      <c r="I100" s="17" t="e">
        <f>INDEX(N:N,MATCH(A100,O:O,0))/100</f>
        <v>#N/A</v>
      </c>
      <c r="J100" s="17" t="e">
        <f>INDEX(V:V,MATCH(A100,W:W,0))/100</f>
        <v>#N/A</v>
      </c>
      <c r="K100" s="18" t="s">
        <v>545</v>
      </c>
    </row>
    <row r="101" spans="1:11" x14ac:dyDescent="0.3">
      <c r="A101" t="s">
        <v>277</v>
      </c>
      <c r="B101" t="s">
        <v>131</v>
      </c>
      <c r="C101" t="s">
        <v>119</v>
      </c>
      <c r="D101" t="s">
        <v>14</v>
      </c>
      <c r="I101" s="18" t="e">
        <f>INDEX(M:M,MATCH(A100,O:O,0))</f>
        <v>#N/A</v>
      </c>
      <c r="J101" s="18" t="e">
        <f>INDEX(U:U,MATCH(A100,W:W,0))</f>
        <v>#N/A</v>
      </c>
      <c r="K101" s="19" t="s">
        <v>539</v>
      </c>
    </row>
    <row r="102" spans="1:11" x14ac:dyDescent="0.3">
      <c r="A102" t="s">
        <v>278</v>
      </c>
      <c r="B102" t="s">
        <v>131</v>
      </c>
      <c r="C102" t="s">
        <v>119</v>
      </c>
      <c r="D102" t="s">
        <v>11</v>
      </c>
      <c r="I102" s="17" t="e">
        <f>INDEX(N:N,MATCH(A102,O:O,0))/100</f>
        <v>#N/A</v>
      </c>
      <c r="J102" s="17" t="e">
        <f>INDEX(V:V,MATCH(A102,W:W,0))/100</f>
        <v>#N/A</v>
      </c>
      <c r="K102" s="18" t="s">
        <v>545</v>
      </c>
    </row>
    <row r="103" spans="1:11" x14ac:dyDescent="0.3">
      <c r="A103" t="s">
        <v>278</v>
      </c>
      <c r="B103" t="s">
        <v>131</v>
      </c>
      <c r="C103" t="s">
        <v>119</v>
      </c>
      <c r="D103" t="s">
        <v>11</v>
      </c>
      <c r="I103" s="18" t="e">
        <f>INDEX(M:M,MATCH(A102,O:O,0))</f>
        <v>#N/A</v>
      </c>
      <c r="J103" s="18" t="e">
        <f>INDEX(U:U,MATCH(A102,W:W,0))</f>
        <v>#N/A</v>
      </c>
      <c r="K103" s="19" t="s">
        <v>539</v>
      </c>
    </row>
    <row r="104" spans="1:11" x14ac:dyDescent="0.3">
      <c r="A104" t="s">
        <v>279</v>
      </c>
      <c r="B104" t="s">
        <v>131</v>
      </c>
      <c r="C104" t="s">
        <v>119</v>
      </c>
      <c r="D104" t="s">
        <v>23</v>
      </c>
      <c r="I104" s="17" t="e">
        <f>INDEX(N:N,MATCH(A104,O:O,0))/100</f>
        <v>#N/A</v>
      </c>
      <c r="J104" s="17" t="e">
        <f>INDEX(V:V,MATCH(A104,W:W,0))/100</f>
        <v>#N/A</v>
      </c>
      <c r="K104" s="18" t="s">
        <v>545</v>
      </c>
    </row>
    <row r="105" spans="1:11" x14ac:dyDescent="0.3">
      <c r="A105" t="s">
        <v>279</v>
      </c>
      <c r="B105" t="s">
        <v>131</v>
      </c>
      <c r="C105" t="s">
        <v>119</v>
      </c>
      <c r="D105" t="s">
        <v>23</v>
      </c>
      <c r="I105" s="18" t="e">
        <f>INDEX(M:M,MATCH(A104,O:O,0))</f>
        <v>#N/A</v>
      </c>
      <c r="J105" s="18" t="e">
        <f>INDEX(U:U,MATCH(A104,W:W,0))</f>
        <v>#N/A</v>
      </c>
      <c r="K105" s="19" t="s">
        <v>539</v>
      </c>
    </row>
    <row r="106" spans="1:11" x14ac:dyDescent="0.3">
      <c r="A106" t="s">
        <v>280</v>
      </c>
      <c r="B106" t="s">
        <v>131</v>
      </c>
      <c r="C106" t="s">
        <v>119</v>
      </c>
      <c r="D106" t="s">
        <v>24</v>
      </c>
      <c r="I106" s="17" t="e">
        <f>INDEX(N:N,MATCH(A106,O:O,0))/100</f>
        <v>#N/A</v>
      </c>
      <c r="J106" s="17" t="e">
        <f>INDEX(V:V,MATCH(A106,W:W,0))/100</f>
        <v>#N/A</v>
      </c>
      <c r="K106" s="18" t="s">
        <v>545</v>
      </c>
    </row>
    <row r="107" spans="1:11" x14ac:dyDescent="0.3">
      <c r="A107" t="s">
        <v>280</v>
      </c>
      <c r="B107" t="s">
        <v>131</v>
      </c>
      <c r="C107" t="s">
        <v>119</v>
      </c>
      <c r="D107" t="s">
        <v>24</v>
      </c>
      <c r="I107" s="18" t="e">
        <f>INDEX(M:M,MATCH(A106,O:O,0))</f>
        <v>#N/A</v>
      </c>
      <c r="J107" s="18" t="e">
        <f>INDEX(U:U,MATCH(A106,W:W,0))</f>
        <v>#N/A</v>
      </c>
      <c r="K107" s="19" t="s">
        <v>539</v>
      </c>
    </row>
    <row r="108" spans="1:11" x14ac:dyDescent="0.3">
      <c r="A108" t="s">
        <v>281</v>
      </c>
      <c r="B108" t="s">
        <v>131</v>
      </c>
      <c r="C108" t="s">
        <v>119</v>
      </c>
      <c r="D108" t="s">
        <v>25</v>
      </c>
      <c r="I108" s="17" t="e">
        <f>INDEX(N:N,MATCH(A108,O:O,0))/100</f>
        <v>#N/A</v>
      </c>
      <c r="J108" s="17" t="e">
        <f>INDEX(V:V,MATCH(A108,W:W,0))/100</f>
        <v>#N/A</v>
      </c>
      <c r="K108" s="18" t="s">
        <v>545</v>
      </c>
    </row>
    <row r="109" spans="1:11" x14ac:dyDescent="0.3">
      <c r="A109" t="s">
        <v>281</v>
      </c>
      <c r="B109" t="s">
        <v>131</v>
      </c>
      <c r="C109" t="s">
        <v>119</v>
      </c>
      <c r="D109" t="s">
        <v>25</v>
      </c>
      <c r="I109" s="18" t="e">
        <f>INDEX(M:M,MATCH(A108,O:O,0))</f>
        <v>#N/A</v>
      </c>
      <c r="J109" s="18" t="e">
        <f>INDEX(U:U,MATCH(A108,W:W,0))</f>
        <v>#N/A</v>
      </c>
      <c r="K109" s="19" t="s">
        <v>539</v>
      </c>
    </row>
    <row r="110" spans="1:11" x14ac:dyDescent="0.3">
      <c r="A110" t="s">
        <v>282</v>
      </c>
      <c r="B110" t="s">
        <v>131</v>
      </c>
      <c r="C110" t="s">
        <v>119</v>
      </c>
      <c r="D110" t="s">
        <v>26</v>
      </c>
      <c r="I110" s="17" t="e">
        <f>INDEX(N:N,MATCH(A110,O:O,0))/100</f>
        <v>#N/A</v>
      </c>
      <c r="J110" s="17" t="e">
        <f>INDEX(V:V,MATCH(A110,W:W,0))/100</f>
        <v>#N/A</v>
      </c>
      <c r="K110" s="18" t="s">
        <v>545</v>
      </c>
    </row>
    <row r="111" spans="1:11" x14ac:dyDescent="0.3">
      <c r="A111" t="s">
        <v>282</v>
      </c>
      <c r="B111" t="s">
        <v>131</v>
      </c>
      <c r="C111" t="s">
        <v>119</v>
      </c>
      <c r="D111" t="s">
        <v>26</v>
      </c>
      <c r="I111" s="18" t="e">
        <f>INDEX(M:M,MATCH(A110,O:O,0))</f>
        <v>#N/A</v>
      </c>
      <c r="J111" s="18" t="e">
        <f>INDEX(U:U,MATCH(A110,W:W,0))</f>
        <v>#N/A</v>
      </c>
      <c r="K111" s="19" t="s">
        <v>539</v>
      </c>
    </row>
    <row r="112" spans="1:11" x14ac:dyDescent="0.3">
      <c r="A112" t="s">
        <v>283</v>
      </c>
      <c r="B112" t="s">
        <v>131</v>
      </c>
      <c r="C112" t="s">
        <v>119</v>
      </c>
      <c r="D112" t="s">
        <v>27</v>
      </c>
      <c r="I112" s="17" t="e">
        <f>INDEX(N:N,MATCH(A112,O:O,0))/100</f>
        <v>#N/A</v>
      </c>
      <c r="J112" s="17" t="e">
        <f>INDEX(V:V,MATCH(A112,W:W,0))/100</f>
        <v>#N/A</v>
      </c>
      <c r="K112" s="18" t="s">
        <v>545</v>
      </c>
    </row>
    <row r="113" spans="1:11" x14ac:dyDescent="0.3">
      <c r="A113" t="s">
        <v>283</v>
      </c>
      <c r="B113" t="s">
        <v>131</v>
      </c>
      <c r="C113" t="s">
        <v>119</v>
      </c>
      <c r="D113" t="s">
        <v>27</v>
      </c>
      <c r="I113" s="18" t="e">
        <f>INDEX(M:M,MATCH(A112,O:O,0))</f>
        <v>#N/A</v>
      </c>
      <c r="J113" s="18" t="e">
        <f>INDEX(U:U,MATCH(A112,W:W,0))</f>
        <v>#N/A</v>
      </c>
      <c r="K113" s="19" t="s">
        <v>539</v>
      </c>
    </row>
    <row r="114" spans="1:11" x14ac:dyDescent="0.3">
      <c r="A114" t="s">
        <v>284</v>
      </c>
      <c r="B114" t="s">
        <v>131</v>
      </c>
      <c r="C114" t="s">
        <v>119</v>
      </c>
      <c r="D114" t="s">
        <v>32</v>
      </c>
      <c r="I114" s="17" t="e">
        <f>INDEX(N:N,MATCH(A114,O:O,0))/100</f>
        <v>#N/A</v>
      </c>
      <c r="J114" s="17" t="e">
        <f>INDEX(V:V,MATCH(A114,W:W,0))/100</f>
        <v>#N/A</v>
      </c>
      <c r="K114" s="18" t="s">
        <v>545</v>
      </c>
    </row>
    <row r="115" spans="1:11" x14ac:dyDescent="0.3">
      <c r="A115" t="s">
        <v>284</v>
      </c>
      <c r="B115" t="s">
        <v>131</v>
      </c>
      <c r="C115" t="s">
        <v>119</v>
      </c>
      <c r="D115" t="s">
        <v>32</v>
      </c>
      <c r="I115" s="18" t="e">
        <f>INDEX(M:M,MATCH(A114,O:O,0))</f>
        <v>#N/A</v>
      </c>
      <c r="J115" s="18" t="e">
        <f>INDEX(U:U,MATCH(A114,W:W,0))</f>
        <v>#N/A</v>
      </c>
      <c r="K115" s="19" t="s">
        <v>539</v>
      </c>
    </row>
    <row r="116" spans="1:11" x14ac:dyDescent="0.3">
      <c r="A116" t="s">
        <v>285</v>
      </c>
      <c r="B116" t="s">
        <v>131</v>
      </c>
      <c r="C116" t="s">
        <v>119</v>
      </c>
      <c r="D116" t="s">
        <v>37</v>
      </c>
      <c r="I116" s="17" t="e">
        <f>INDEX(N:N,MATCH(A116,O:O,0))/100</f>
        <v>#N/A</v>
      </c>
      <c r="J116" s="17" t="e">
        <f>INDEX(V:V,MATCH(A116,W:W,0))/100</f>
        <v>#N/A</v>
      </c>
      <c r="K116" s="18" t="s">
        <v>545</v>
      </c>
    </row>
    <row r="117" spans="1:11" x14ac:dyDescent="0.3">
      <c r="A117" t="s">
        <v>285</v>
      </c>
      <c r="B117" t="s">
        <v>131</v>
      </c>
      <c r="C117" t="s">
        <v>119</v>
      </c>
      <c r="D117" t="s">
        <v>37</v>
      </c>
      <c r="I117" s="18" t="e">
        <f>INDEX(M:M,MATCH(A116,O:O,0))</f>
        <v>#N/A</v>
      </c>
      <c r="J117" s="18" t="e">
        <f>INDEX(U:U,MATCH(A116,W:W,0))</f>
        <v>#N/A</v>
      </c>
      <c r="K117" s="19" t="s">
        <v>539</v>
      </c>
    </row>
    <row r="118" spans="1:11" x14ac:dyDescent="0.3">
      <c r="A118" t="s">
        <v>286</v>
      </c>
      <c r="B118" t="s">
        <v>131</v>
      </c>
      <c r="C118" t="s">
        <v>119</v>
      </c>
      <c r="D118" t="s">
        <v>29</v>
      </c>
      <c r="I118" s="17" t="e">
        <f>INDEX(N:N,MATCH(A118,O:O,0))/100</f>
        <v>#N/A</v>
      </c>
      <c r="J118" s="17" t="e">
        <f>INDEX(V:V,MATCH(A118,W:W,0))/100</f>
        <v>#N/A</v>
      </c>
      <c r="K118" s="18" t="s">
        <v>545</v>
      </c>
    </row>
    <row r="119" spans="1:11" x14ac:dyDescent="0.3">
      <c r="A119" t="s">
        <v>286</v>
      </c>
      <c r="B119" t="s">
        <v>131</v>
      </c>
      <c r="C119" t="s">
        <v>119</v>
      </c>
      <c r="D119" t="s">
        <v>29</v>
      </c>
      <c r="I119" s="18" t="e">
        <f>INDEX(M:M,MATCH(A118,O:O,0))</f>
        <v>#N/A</v>
      </c>
      <c r="J119" s="18" t="e">
        <f>INDEX(U:U,MATCH(A118,W:W,0))</f>
        <v>#N/A</v>
      </c>
      <c r="K119" s="19" t="s">
        <v>539</v>
      </c>
    </row>
    <row r="120" spans="1:11" x14ac:dyDescent="0.3">
      <c r="A120" t="s">
        <v>287</v>
      </c>
      <c r="B120" t="s">
        <v>131</v>
      </c>
      <c r="C120" t="s">
        <v>119</v>
      </c>
      <c r="D120" t="s">
        <v>15</v>
      </c>
      <c r="I120" s="17" t="e">
        <f>INDEX(N:N,MATCH(A120,O:O,0))/100</f>
        <v>#N/A</v>
      </c>
      <c r="J120" s="17" t="e">
        <f>INDEX(V:V,MATCH(A120,W:W,0))/100</f>
        <v>#N/A</v>
      </c>
      <c r="K120" s="18" t="s">
        <v>545</v>
      </c>
    </row>
    <row r="121" spans="1:11" x14ac:dyDescent="0.3">
      <c r="A121" t="s">
        <v>287</v>
      </c>
      <c r="B121" t="s">
        <v>131</v>
      </c>
      <c r="C121" t="s">
        <v>119</v>
      </c>
      <c r="D121" t="s">
        <v>15</v>
      </c>
      <c r="I121" s="18" t="e">
        <f>INDEX(M:M,MATCH(A120,O:O,0))</f>
        <v>#N/A</v>
      </c>
      <c r="J121" s="18" t="e">
        <f>INDEX(U:U,MATCH(A120,W:W,0))</f>
        <v>#N/A</v>
      </c>
      <c r="K121" s="19" t="s">
        <v>539</v>
      </c>
    </row>
    <row r="122" spans="1:11" x14ac:dyDescent="0.3">
      <c r="A122" t="s">
        <v>288</v>
      </c>
      <c r="B122" t="s">
        <v>131</v>
      </c>
      <c r="C122" t="s">
        <v>119</v>
      </c>
      <c r="D122" t="s">
        <v>20</v>
      </c>
      <c r="I122" s="17" t="e">
        <f>INDEX(N:N,MATCH(A122,O:O,0))/100</f>
        <v>#N/A</v>
      </c>
      <c r="J122" s="17" t="e">
        <f>INDEX(V:V,MATCH(A122,W:W,0))/100</f>
        <v>#N/A</v>
      </c>
      <c r="K122" s="18" t="s">
        <v>545</v>
      </c>
    </row>
    <row r="123" spans="1:11" x14ac:dyDescent="0.3">
      <c r="A123" t="s">
        <v>288</v>
      </c>
      <c r="B123" t="s">
        <v>131</v>
      </c>
      <c r="C123" t="s">
        <v>119</v>
      </c>
      <c r="D123" t="s">
        <v>20</v>
      </c>
      <c r="I123" s="18" t="e">
        <f>INDEX(M:M,MATCH(A122,O:O,0))</f>
        <v>#N/A</v>
      </c>
      <c r="J123" s="18" t="e">
        <f>INDEX(U:U,MATCH(A122,W:W,0))</f>
        <v>#N/A</v>
      </c>
      <c r="K123" s="19" t="s">
        <v>539</v>
      </c>
    </row>
    <row r="124" spans="1:11" x14ac:dyDescent="0.3">
      <c r="A124" t="s">
        <v>289</v>
      </c>
      <c r="B124" t="s">
        <v>131</v>
      </c>
      <c r="C124" t="s">
        <v>119</v>
      </c>
      <c r="D124" t="s">
        <v>42</v>
      </c>
      <c r="I124" s="17" t="e">
        <f>INDEX(N:N,MATCH(A124,O:O,0))/100</f>
        <v>#N/A</v>
      </c>
      <c r="J124" s="17" t="e">
        <f>INDEX(V:V,MATCH(A124,W:W,0))/100</f>
        <v>#N/A</v>
      </c>
      <c r="K124" s="18" t="s">
        <v>545</v>
      </c>
    </row>
    <row r="125" spans="1:11" x14ac:dyDescent="0.3">
      <c r="A125" t="s">
        <v>289</v>
      </c>
      <c r="B125" t="s">
        <v>131</v>
      </c>
      <c r="C125" t="s">
        <v>119</v>
      </c>
      <c r="D125" t="s">
        <v>42</v>
      </c>
      <c r="I125" s="18" t="e">
        <f>INDEX(M:M,MATCH(A124,O:O,0))</f>
        <v>#N/A</v>
      </c>
      <c r="J125" s="18" t="e">
        <f>INDEX(U:U,MATCH(A124,W:W,0))</f>
        <v>#N/A</v>
      </c>
      <c r="K125" s="19" t="s">
        <v>539</v>
      </c>
    </row>
    <row r="126" spans="1:11" x14ac:dyDescent="0.3">
      <c r="A126" t="s">
        <v>290</v>
      </c>
      <c r="B126" t="s">
        <v>131</v>
      </c>
      <c r="C126" t="s">
        <v>119</v>
      </c>
      <c r="D126" t="s">
        <v>33</v>
      </c>
      <c r="I126" s="17" t="e">
        <f>INDEX(N:N,MATCH(A126,O:O,0))/100</f>
        <v>#N/A</v>
      </c>
      <c r="J126" s="17" t="e">
        <f>INDEX(V:V,MATCH(A126,W:W,0))/100</f>
        <v>#N/A</v>
      </c>
      <c r="K126" s="18" t="s">
        <v>545</v>
      </c>
    </row>
    <row r="127" spans="1:11" x14ac:dyDescent="0.3">
      <c r="A127" t="s">
        <v>290</v>
      </c>
      <c r="B127" t="s">
        <v>131</v>
      </c>
      <c r="C127" t="s">
        <v>119</v>
      </c>
      <c r="D127" t="s">
        <v>33</v>
      </c>
      <c r="I127" s="18" t="e">
        <f>INDEX(M:M,MATCH(A126,O:O,0))</f>
        <v>#N/A</v>
      </c>
      <c r="J127" s="18" t="e">
        <f>INDEX(U:U,MATCH(A126,W:W,0))</f>
        <v>#N/A</v>
      </c>
      <c r="K127" s="19" t="s">
        <v>539</v>
      </c>
    </row>
    <row r="128" spans="1:11" x14ac:dyDescent="0.3">
      <c r="A128" t="s">
        <v>291</v>
      </c>
      <c r="B128" t="s">
        <v>131</v>
      </c>
      <c r="C128" t="s">
        <v>114</v>
      </c>
      <c r="D128" t="s">
        <v>5</v>
      </c>
      <c r="I128" s="17" t="e">
        <f>INDEX(N:N,MATCH(A128,O:O,0))/100</f>
        <v>#N/A</v>
      </c>
      <c r="J128" s="17" t="e">
        <f>INDEX(V:V,MATCH(A128,W:W,0))/100</f>
        <v>#N/A</v>
      </c>
      <c r="K128" s="18" t="s">
        <v>545</v>
      </c>
    </row>
    <row r="129" spans="1:11" x14ac:dyDescent="0.3">
      <c r="A129" t="s">
        <v>291</v>
      </c>
      <c r="B129" t="s">
        <v>131</v>
      </c>
      <c r="C129" t="s">
        <v>114</v>
      </c>
      <c r="D129" t="s">
        <v>5</v>
      </c>
      <c r="I129" s="18" t="e">
        <f>INDEX(M:M,MATCH(A128,O:O,0))</f>
        <v>#N/A</v>
      </c>
      <c r="J129" s="18" t="e">
        <f>INDEX(U:U,MATCH(A128,W:W,0))</f>
        <v>#N/A</v>
      </c>
      <c r="K129" s="19" t="s">
        <v>539</v>
      </c>
    </row>
    <row r="130" spans="1:11" x14ac:dyDescent="0.3">
      <c r="A130" t="s">
        <v>292</v>
      </c>
      <c r="B130" t="s">
        <v>131</v>
      </c>
      <c r="C130" t="s">
        <v>114</v>
      </c>
      <c r="D130" t="s">
        <v>6</v>
      </c>
      <c r="I130" s="17" t="e">
        <f>INDEX(N:N,MATCH(A130,O:O,0))/100</f>
        <v>#N/A</v>
      </c>
      <c r="J130" s="17" t="e">
        <f>INDEX(V:V,MATCH(A130,W:W,0))/100</f>
        <v>#N/A</v>
      </c>
      <c r="K130" s="18" t="s">
        <v>545</v>
      </c>
    </row>
    <row r="131" spans="1:11" x14ac:dyDescent="0.3">
      <c r="A131" t="s">
        <v>292</v>
      </c>
      <c r="B131" t="s">
        <v>131</v>
      </c>
      <c r="C131" t="s">
        <v>114</v>
      </c>
      <c r="D131" t="s">
        <v>6</v>
      </c>
      <c r="I131" s="18" t="e">
        <f>INDEX(M:M,MATCH(A130,O:O,0))</f>
        <v>#N/A</v>
      </c>
      <c r="J131" s="18" t="e">
        <f>INDEX(U:U,MATCH(A130,W:W,0))</f>
        <v>#N/A</v>
      </c>
      <c r="K131" s="19" t="s">
        <v>539</v>
      </c>
    </row>
    <row r="132" spans="1:11" x14ac:dyDescent="0.3">
      <c r="A132" t="s">
        <v>293</v>
      </c>
      <c r="B132" t="s">
        <v>131</v>
      </c>
      <c r="C132" t="s">
        <v>114</v>
      </c>
      <c r="D132" t="s">
        <v>7</v>
      </c>
      <c r="I132" s="17" t="e">
        <f>INDEX(N:N,MATCH(A132,O:O,0))/100</f>
        <v>#N/A</v>
      </c>
      <c r="J132" s="17" t="e">
        <f>INDEX(V:V,MATCH(A132,W:W,0))/100</f>
        <v>#N/A</v>
      </c>
      <c r="K132" s="18" t="s">
        <v>545</v>
      </c>
    </row>
    <row r="133" spans="1:11" x14ac:dyDescent="0.3">
      <c r="A133" t="s">
        <v>293</v>
      </c>
      <c r="B133" t="s">
        <v>131</v>
      </c>
      <c r="C133" t="s">
        <v>114</v>
      </c>
      <c r="D133" t="s">
        <v>7</v>
      </c>
      <c r="I133" s="18" t="e">
        <f>INDEX(M:M,MATCH(A132,O:O,0))</f>
        <v>#N/A</v>
      </c>
      <c r="J133" s="18" t="e">
        <f>INDEX(U:U,MATCH(A132,W:W,0))</f>
        <v>#N/A</v>
      </c>
      <c r="K133" s="19" t="s">
        <v>539</v>
      </c>
    </row>
    <row r="134" spans="1:11" x14ac:dyDescent="0.3">
      <c r="A134" t="s">
        <v>294</v>
      </c>
      <c r="B134" t="s">
        <v>131</v>
      </c>
      <c r="C134" t="s">
        <v>114</v>
      </c>
      <c r="D134" t="s">
        <v>8</v>
      </c>
      <c r="I134" s="17" t="e">
        <f>INDEX(N:N,MATCH(A134,O:O,0))/100</f>
        <v>#N/A</v>
      </c>
      <c r="J134" s="17" t="e">
        <f>INDEX(V:V,MATCH(A134,W:W,0))/100</f>
        <v>#N/A</v>
      </c>
      <c r="K134" s="18" t="s">
        <v>545</v>
      </c>
    </row>
    <row r="135" spans="1:11" x14ac:dyDescent="0.3">
      <c r="A135" t="s">
        <v>294</v>
      </c>
      <c r="B135" t="s">
        <v>131</v>
      </c>
      <c r="C135" t="s">
        <v>114</v>
      </c>
      <c r="D135" t="s">
        <v>8</v>
      </c>
      <c r="I135" s="18" t="e">
        <f>INDEX(M:M,MATCH(A134,O:O,0))</f>
        <v>#N/A</v>
      </c>
      <c r="J135" s="18" t="e">
        <f>INDEX(U:U,MATCH(A134,W:W,0))</f>
        <v>#N/A</v>
      </c>
      <c r="K135" s="19" t="s">
        <v>539</v>
      </c>
    </row>
    <row r="136" spans="1:11" x14ac:dyDescent="0.3">
      <c r="A136" t="s">
        <v>295</v>
      </c>
      <c r="B136" t="s">
        <v>131</v>
      </c>
      <c r="C136" t="s">
        <v>114</v>
      </c>
      <c r="D136" t="s">
        <v>9</v>
      </c>
      <c r="I136" s="17" t="e">
        <f>INDEX(N:N,MATCH(A136,O:O,0))/100</f>
        <v>#N/A</v>
      </c>
      <c r="J136" s="17" t="e">
        <f>INDEX(V:V,MATCH(A136,W:W,0))/100</f>
        <v>#N/A</v>
      </c>
      <c r="K136" s="18" t="s">
        <v>545</v>
      </c>
    </row>
    <row r="137" spans="1:11" x14ac:dyDescent="0.3">
      <c r="A137" t="s">
        <v>295</v>
      </c>
      <c r="B137" t="s">
        <v>131</v>
      </c>
      <c r="C137" t="s">
        <v>114</v>
      </c>
      <c r="D137" t="s">
        <v>9</v>
      </c>
      <c r="I137" s="18" t="e">
        <f>INDEX(M:M,MATCH(A136,O:O,0))</f>
        <v>#N/A</v>
      </c>
      <c r="J137" s="18" t="e">
        <f>INDEX(U:U,MATCH(A136,W:W,0))</f>
        <v>#N/A</v>
      </c>
      <c r="K137" s="19" t="s">
        <v>539</v>
      </c>
    </row>
    <row r="138" spans="1:11" x14ac:dyDescent="0.3">
      <c r="A138" t="s">
        <v>296</v>
      </c>
      <c r="B138" t="s">
        <v>131</v>
      </c>
      <c r="C138" t="s">
        <v>114</v>
      </c>
      <c r="D138" t="s">
        <v>10</v>
      </c>
      <c r="I138" s="17" t="e">
        <f>INDEX(N:N,MATCH(A138,O:O,0))/100</f>
        <v>#N/A</v>
      </c>
      <c r="J138" s="17" t="e">
        <f>INDEX(V:V,MATCH(A138,W:W,0))/100</f>
        <v>#N/A</v>
      </c>
      <c r="K138" s="18" t="s">
        <v>545</v>
      </c>
    </row>
    <row r="139" spans="1:11" x14ac:dyDescent="0.3">
      <c r="A139" t="s">
        <v>296</v>
      </c>
      <c r="B139" t="s">
        <v>131</v>
      </c>
      <c r="C139" t="s">
        <v>114</v>
      </c>
      <c r="D139" t="s">
        <v>10</v>
      </c>
      <c r="I139" s="18" t="e">
        <f>INDEX(M:M,MATCH(A138,O:O,0))</f>
        <v>#N/A</v>
      </c>
      <c r="J139" s="18" t="e">
        <f>INDEX(U:U,MATCH(A138,W:W,0))</f>
        <v>#N/A</v>
      </c>
      <c r="K139" s="19" t="s">
        <v>539</v>
      </c>
    </row>
    <row r="140" spans="1:11" x14ac:dyDescent="0.3">
      <c r="A140" t="s">
        <v>297</v>
      </c>
      <c r="B140" t="s">
        <v>131</v>
      </c>
      <c r="C140" t="s">
        <v>114</v>
      </c>
      <c r="D140" t="s">
        <v>13</v>
      </c>
      <c r="I140" s="17" t="e">
        <f>INDEX(N:N,MATCH(A140,O:O,0))/100</f>
        <v>#N/A</v>
      </c>
      <c r="J140" s="17" t="e">
        <f>INDEX(V:V,MATCH(A140,W:W,0))/100</f>
        <v>#N/A</v>
      </c>
      <c r="K140" s="18" t="s">
        <v>545</v>
      </c>
    </row>
    <row r="141" spans="1:11" x14ac:dyDescent="0.3">
      <c r="A141" t="s">
        <v>297</v>
      </c>
      <c r="B141" t="s">
        <v>131</v>
      </c>
      <c r="C141" t="s">
        <v>114</v>
      </c>
      <c r="D141" t="s">
        <v>13</v>
      </c>
      <c r="I141" s="18" t="e">
        <f>INDEX(M:M,MATCH(A140,O:O,0))</f>
        <v>#N/A</v>
      </c>
      <c r="J141" s="18" t="e">
        <f>INDEX(U:U,MATCH(A140,W:W,0))</f>
        <v>#N/A</v>
      </c>
      <c r="K141" s="19" t="s">
        <v>539</v>
      </c>
    </row>
    <row r="142" spans="1:11" x14ac:dyDescent="0.3">
      <c r="A142" t="s">
        <v>298</v>
      </c>
      <c r="B142" t="s">
        <v>131</v>
      </c>
      <c r="C142" t="s">
        <v>114</v>
      </c>
      <c r="D142" t="s">
        <v>14</v>
      </c>
      <c r="I142" s="17" t="e">
        <f>INDEX(N:N,MATCH(A142,O:O,0))/100</f>
        <v>#N/A</v>
      </c>
      <c r="J142" s="17" t="e">
        <f>INDEX(V:V,MATCH(A142,W:W,0))/100</f>
        <v>#N/A</v>
      </c>
      <c r="K142" s="18" t="s">
        <v>545</v>
      </c>
    </row>
    <row r="143" spans="1:11" x14ac:dyDescent="0.3">
      <c r="A143" t="s">
        <v>298</v>
      </c>
      <c r="B143" t="s">
        <v>131</v>
      </c>
      <c r="C143" t="s">
        <v>114</v>
      </c>
      <c r="D143" t="s">
        <v>14</v>
      </c>
      <c r="I143" s="18" t="e">
        <f>INDEX(M:M,MATCH(A142,O:O,0))</f>
        <v>#N/A</v>
      </c>
      <c r="J143" s="18" t="e">
        <f>INDEX(U:U,MATCH(A142,W:W,0))</f>
        <v>#N/A</v>
      </c>
      <c r="K143" s="19" t="s">
        <v>539</v>
      </c>
    </row>
    <row r="144" spans="1:11" x14ac:dyDescent="0.3">
      <c r="A144" t="s">
        <v>299</v>
      </c>
      <c r="B144" t="s">
        <v>131</v>
      </c>
      <c r="C144" t="s">
        <v>114</v>
      </c>
      <c r="D144" t="s">
        <v>11</v>
      </c>
      <c r="I144" s="17" t="e">
        <f>INDEX(N:N,MATCH(A144,O:O,0))/100</f>
        <v>#N/A</v>
      </c>
      <c r="J144" s="17" t="e">
        <f>INDEX(V:V,MATCH(A144,W:W,0))/100</f>
        <v>#N/A</v>
      </c>
      <c r="K144" s="18" t="s">
        <v>545</v>
      </c>
    </row>
    <row r="145" spans="1:11" x14ac:dyDescent="0.3">
      <c r="A145" t="s">
        <v>299</v>
      </c>
      <c r="B145" t="s">
        <v>131</v>
      </c>
      <c r="C145" t="s">
        <v>114</v>
      </c>
      <c r="D145" t="s">
        <v>11</v>
      </c>
      <c r="I145" s="18" t="e">
        <f>INDEX(M:M,MATCH(A144,O:O,0))</f>
        <v>#N/A</v>
      </c>
      <c r="J145" s="18" t="e">
        <f>INDEX(U:U,MATCH(A144,W:W,0))</f>
        <v>#N/A</v>
      </c>
      <c r="K145" s="19" t="s">
        <v>539</v>
      </c>
    </row>
    <row r="146" spans="1:11" x14ac:dyDescent="0.3">
      <c r="A146" t="s">
        <v>300</v>
      </c>
      <c r="B146" t="s">
        <v>131</v>
      </c>
      <c r="C146" t="s">
        <v>114</v>
      </c>
      <c r="D146" t="s">
        <v>23</v>
      </c>
      <c r="I146" s="17" t="e">
        <f>INDEX(N:N,MATCH(A146,O:O,0))/100</f>
        <v>#N/A</v>
      </c>
      <c r="J146" s="17" t="e">
        <f>INDEX(V:V,MATCH(A146,W:W,0))/100</f>
        <v>#N/A</v>
      </c>
      <c r="K146" s="18" t="s">
        <v>545</v>
      </c>
    </row>
    <row r="147" spans="1:11" x14ac:dyDescent="0.3">
      <c r="A147" t="s">
        <v>300</v>
      </c>
      <c r="B147" t="s">
        <v>131</v>
      </c>
      <c r="C147" t="s">
        <v>114</v>
      </c>
      <c r="D147" t="s">
        <v>23</v>
      </c>
      <c r="I147" s="18" t="e">
        <f>INDEX(M:M,MATCH(A146,O:O,0))</f>
        <v>#N/A</v>
      </c>
      <c r="J147" s="18" t="e">
        <f>INDEX(U:U,MATCH(A146,W:W,0))</f>
        <v>#N/A</v>
      </c>
      <c r="K147" s="19" t="s">
        <v>539</v>
      </c>
    </row>
    <row r="148" spans="1:11" x14ac:dyDescent="0.3">
      <c r="A148" t="s">
        <v>301</v>
      </c>
      <c r="B148" t="s">
        <v>131</v>
      </c>
      <c r="C148" t="s">
        <v>114</v>
      </c>
      <c r="D148" t="s">
        <v>24</v>
      </c>
      <c r="I148" s="17" t="e">
        <f>INDEX(N:N,MATCH(A148,O:O,0))/100</f>
        <v>#N/A</v>
      </c>
      <c r="J148" s="17" t="e">
        <f>INDEX(V:V,MATCH(A148,W:W,0))/100</f>
        <v>#N/A</v>
      </c>
      <c r="K148" s="18" t="s">
        <v>545</v>
      </c>
    </row>
    <row r="149" spans="1:11" x14ac:dyDescent="0.3">
      <c r="A149" t="s">
        <v>301</v>
      </c>
      <c r="B149" t="s">
        <v>131</v>
      </c>
      <c r="C149" t="s">
        <v>114</v>
      </c>
      <c r="D149" t="s">
        <v>24</v>
      </c>
      <c r="I149" s="18" t="e">
        <f>INDEX(M:M,MATCH(A148,O:O,0))</f>
        <v>#N/A</v>
      </c>
      <c r="J149" s="18" t="e">
        <f>INDEX(U:U,MATCH(A148,W:W,0))</f>
        <v>#N/A</v>
      </c>
      <c r="K149" s="19" t="s">
        <v>539</v>
      </c>
    </row>
    <row r="150" spans="1:11" x14ac:dyDescent="0.3">
      <c r="A150" t="s">
        <v>302</v>
      </c>
      <c r="B150" t="s">
        <v>131</v>
      </c>
      <c r="C150" t="s">
        <v>114</v>
      </c>
      <c r="D150" t="s">
        <v>25</v>
      </c>
      <c r="I150" s="17" t="e">
        <f>INDEX(N:N,MATCH(A150,O:O,0))/100</f>
        <v>#N/A</v>
      </c>
      <c r="J150" s="17" t="e">
        <f>INDEX(V:V,MATCH(A150,W:W,0))/100</f>
        <v>#N/A</v>
      </c>
      <c r="K150" s="18" t="s">
        <v>545</v>
      </c>
    </row>
    <row r="151" spans="1:11" x14ac:dyDescent="0.3">
      <c r="A151" t="s">
        <v>302</v>
      </c>
      <c r="B151" t="s">
        <v>131</v>
      </c>
      <c r="C151" t="s">
        <v>114</v>
      </c>
      <c r="D151" t="s">
        <v>25</v>
      </c>
      <c r="I151" s="18" t="e">
        <f>INDEX(M:M,MATCH(A150,O:O,0))</f>
        <v>#N/A</v>
      </c>
      <c r="J151" s="18" t="e">
        <f>INDEX(U:U,MATCH(A150,W:W,0))</f>
        <v>#N/A</v>
      </c>
      <c r="K151" s="19" t="s">
        <v>539</v>
      </c>
    </row>
    <row r="152" spans="1:11" x14ac:dyDescent="0.3">
      <c r="A152" t="s">
        <v>303</v>
      </c>
      <c r="B152" t="s">
        <v>131</v>
      </c>
      <c r="C152" t="s">
        <v>114</v>
      </c>
      <c r="D152" t="s">
        <v>26</v>
      </c>
      <c r="I152" s="17" t="e">
        <f>INDEX(N:N,MATCH(A152,O:O,0))/100</f>
        <v>#N/A</v>
      </c>
      <c r="J152" s="17" t="e">
        <f>INDEX(V:V,MATCH(A152,W:W,0))/100</f>
        <v>#N/A</v>
      </c>
      <c r="K152" s="18" t="s">
        <v>545</v>
      </c>
    </row>
    <row r="153" spans="1:11" x14ac:dyDescent="0.3">
      <c r="A153" t="s">
        <v>303</v>
      </c>
      <c r="B153" t="s">
        <v>131</v>
      </c>
      <c r="C153" t="s">
        <v>114</v>
      </c>
      <c r="D153" t="s">
        <v>26</v>
      </c>
      <c r="I153" s="18" t="e">
        <f>INDEX(M:M,MATCH(A152,O:O,0))</f>
        <v>#N/A</v>
      </c>
      <c r="J153" s="18" t="e">
        <f>INDEX(U:U,MATCH(A152,W:W,0))</f>
        <v>#N/A</v>
      </c>
      <c r="K153" s="19" t="s">
        <v>539</v>
      </c>
    </row>
    <row r="154" spans="1:11" x14ac:dyDescent="0.3">
      <c r="A154" t="s">
        <v>304</v>
      </c>
      <c r="B154" t="s">
        <v>131</v>
      </c>
      <c r="C154" t="s">
        <v>114</v>
      </c>
      <c r="D154" t="s">
        <v>27</v>
      </c>
      <c r="I154" s="17" t="e">
        <f>INDEX(N:N,MATCH(A154,O:O,0))/100</f>
        <v>#N/A</v>
      </c>
      <c r="J154" s="17" t="e">
        <f>INDEX(V:V,MATCH(A154,W:W,0))/100</f>
        <v>#N/A</v>
      </c>
      <c r="K154" s="18" t="s">
        <v>545</v>
      </c>
    </row>
    <row r="155" spans="1:11" x14ac:dyDescent="0.3">
      <c r="A155" t="s">
        <v>304</v>
      </c>
      <c r="B155" t="s">
        <v>131</v>
      </c>
      <c r="C155" t="s">
        <v>114</v>
      </c>
      <c r="D155" t="s">
        <v>27</v>
      </c>
      <c r="I155" s="18" t="e">
        <f>INDEX(M:M,MATCH(A154,O:O,0))</f>
        <v>#N/A</v>
      </c>
      <c r="J155" s="18" t="e">
        <f>INDEX(U:U,MATCH(A154,W:W,0))</f>
        <v>#N/A</v>
      </c>
      <c r="K155" s="19" t="s">
        <v>539</v>
      </c>
    </row>
    <row r="156" spans="1:11" x14ac:dyDescent="0.3">
      <c r="A156" t="s">
        <v>305</v>
      </c>
      <c r="B156" t="s">
        <v>131</v>
      </c>
      <c r="C156" t="s">
        <v>114</v>
      </c>
      <c r="D156" t="s">
        <v>32</v>
      </c>
      <c r="I156" s="17" t="e">
        <f>INDEX(N:N,MATCH(A156,O:O,0))/100</f>
        <v>#N/A</v>
      </c>
      <c r="J156" s="17" t="e">
        <f>INDEX(V:V,MATCH(A156,W:W,0))/100</f>
        <v>#N/A</v>
      </c>
      <c r="K156" s="18" t="s">
        <v>545</v>
      </c>
    </row>
    <row r="157" spans="1:11" x14ac:dyDescent="0.3">
      <c r="A157" t="s">
        <v>305</v>
      </c>
      <c r="B157" t="s">
        <v>131</v>
      </c>
      <c r="C157" t="s">
        <v>114</v>
      </c>
      <c r="D157" t="s">
        <v>32</v>
      </c>
      <c r="I157" s="18" t="e">
        <f>INDEX(M:M,MATCH(A156,O:O,0))</f>
        <v>#N/A</v>
      </c>
      <c r="J157" s="18" t="e">
        <f>INDEX(U:U,MATCH(A156,W:W,0))</f>
        <v>#N/A</v>
      </c>
      <c r="K157" s="19" t="s">
        <v>539</v>
      </c>
    </row>
    <row r="158" spans="1:11" x14ac:dyDescent="0.3">
      <c r="A158" t="s">
        <v>306</v>
      </c>
      <c r="B158" t="s">
        <v>131</v>
      </c>
      <c r="C158" t="s">
        <v>114</v>
      </c>
      <c r="D158" t="s">
        <v>37</v>
      </c>
      <c r="I158" s="17" t="e">
        <f>INDEX(N:N,MATCH(A158,O:O,0))/100</f>
        <v>#N/A</v>
      </c>
      <c r="J158" s="17" t="e">
        <f>INDEX(V:V,MATCH(A158,W:W,0))/100</f>
        <v>#N/A</v>
      </c>
      <c r="K158" s="18" t="s">
        <v>545</v>
      </c>
    </row>
    <row r="159" spans="1:11" x14ac:dyDescent="0.3">
      <c r="A159" t="s">
        <v>306</v>
      </c>
      <c r="B159" t="s">
        <v>131</v>
      </c>
      <c r="C159" t="s">
        <v>114</v>
      </c>
      <c r="D159" t="s">
        <v>37</v>
      </c>
      <c r="I159" s="18" t="e">
        <f>INDEX(M:M,MATCH(A158,O:O,0))</f>
        <v>#N/A</v>
      </c>
      <c r="J159" s="18" t="e">
        <f>INDEX(U:U,MATCH(A158,W:W,0))</f>
        <v>#N/A</v>
      </c>
      <c r="K159" s="19" t="s">
        <v>539</v>
      </c>
    </row>
    <row r="160" spans="1:11" x14ac:dyDescent="0.3">
      <c r="A160" t="s">
        <v>307</v>
      </c>
      <c r="B160" t="s">
        <v>131</v>
      </c>
      <c r="C160" t="s">
        <v>114</v>
      </c>
      <c r="D160" t="s">
        <v>29</v>
      </c>
      <c r="I160" s="17" t="e">
        <f>INDEX(N:N,MATCH(A160,O:O,0))/100</f>
        <v>#N/A</v>
      </c>
      <c r="J160" s="17" t="e">
        <f>INDEX(V:V,MATCH(A160,W:W,0))/100</f>
        <v>#N/A</v>
      </c>
      <c r="K160" s="18" t="s">
        <v>545</v>
      </c>
    </row>
    <row r="161" spans="1:11" x14ac:dyDescent="0.3">
      <c r="A161" t="s">
        <v>307</v>
      </c>
      <c r="B161" t="s">
        <v>131</v>
      </c>
      <c r="C161" t="s">
        <v>114</v>
      </c>
      <c r="D161" t="s">
        <v>29</v>
      </c>
      <c r="I161" s="18" t="e">
        <f>INDEX(M:M,MATCH(A160,O:O,0))</f>
        <v>#N/A</v>
      </c>
      <c r="J161" s="18" t="e">
        <f>INDEX(U:U,MATCH(A160,W:W,0))</f>
        <v>#N/A</v>
      </c>
      <c r="K161" s="19" t="s">
        <v>539</v>
      </c>
    </row>
    <row r="162" spans="1:11" x14ac:dyDescent="0.3">
      <c r="A162" t="s">
        <v>308</v>
      </c>
      <c r="B162" t="s">
        <v>131</v>
      </c>
      <c r="C162" t="s">
        <v>114</v>
      </c>
      <c r="D162" t="s">
        <v>15</v>
      </c>
      <c r="I162" s="17" t="e">
        <f>INDEX(N:N,MATCH(A162,O:O,0))/100</f>
        <v>#N/A</v>
      </c>
      <c r="J162" s="17" t="e">
        <f>INDEX(V:V,MATCH(A162,W:W,0))/100</f>
        <v>#N/A</v>
      </c>
      <c r="K162" s="18" t="s">
        <v>545</v>
      </c>
    </row>
    <row r="163" spans="1:11" x14ac:dyDescent="0.3">
      <c r="A163" t="s">
        <v>308</v>
      </c>
      <c r="B163" t="s">
        <v>131</v>
      </c>
      <c r="C163" t="s">
        <v>114</v>
      </c>
      <c r="D163" t="s">
        <v>15</v>
      </c>
      <c r="I163" s="18" t="e">
        <f>INDEX(M:M,MATCH(A162,O:O,0))</f>
        <v>#N/A</v>
      </c>
      <c r="J163" s="18" t="e">
        <f>INDEX(U:U,MATCH(A162,W:W,0))</f>
        <v>#N/A</v>
      </c>
      <c r="K163" s="19" t="s">
        <v>539</v>
      </c>
    </row>
    <row r="164" spans="1:11" x14ac:dyDescent="0.3">
      <c r="A164" s="12" t="s">
        <v>309</v>
      </c>
      <c r="B164" t="s">
        <v>131</v>
      </c>
      <c r="C164" t="s">
        <v>114</v>
      </c>
      <c r="D164" t="s">
        <v>20</v>
      </c>
      <c r="I164" s="17" t="e">
        <f>INDEX(N:N,MATCH(A164,O:O,0))/100</f>
        <v>#N/A</v>
      </c>
      <c r="J164" s="17" t="e">
        <f>INDEX(V:V,MATCH(A164,W:W,0))/100</f>
        <v>#N/A</v>
      </c>
      <c r="K164" s="18" t="s">
        <v>545</v>
      </c>
    </row>
    <row r="165" spans="1:11" x14ac:dyDescent="0.3">
      <c r="A165" s="12" t="s">
        <v>309</v>
      </c>
      <c r="B165" t="s">
        <v>131</v>
      </c>
      <c r="C165" t="s">
        <v>114</v>
      </c>
      <c r="D165" t="s">
        <v>20</v>
      </c>
      <c r="I165" s="18" t="e">
        <f>INDEX(M:M,MATCH(A164,O:O,0))</f>
        <v>#N/A</v>
      </c>
      <c r="J165" s="18" t="e">
        <f>INDEX(U:U,MATCH(A164,W:W,0))</f>
        <v>#N/A</v>
      </c>
      <c r="K165" s="19" t="s">
        <v>539</v>
      </c>
    </row>
    <row r="166" spans="1:11" x14ac:dyDescent="0.3">
      <c r="A166" t="s">
        <v>310</v>
      </c>
      <c r="B166" t="s">
        <v>131</v>
      </c>
      <c r="C166" t="s">
        <v>114</v>
      </c>
      <c r="D166" t="s">
        <v>42</v>
      </c>
      <c r="I166" s="17" t="e">
        <f>INDEX(N:N,MATCH(A166,O:O,0))/100</f>
        <v>#N/A</v>
      </c>
      <c r="J166" s="17" t="e">
        <f>INDEX(V:V,MATCH(A166,W:W,0))/100</f>
        <v>#N/A</v>
      </c>
      <c r="K166" s="18" t="s">
        <v>545</v>
      </c>
    </row>
    <row r="167" spans="1:11" x14ac:dyDescent="0.3">
      <c r="A167" t="s">
        <v>310</v>
      </c>
      <c r="B167" t="s">
        <v>131</v>
      </c>
      <c r="C167" t="s">
        <v>114</v>
      </c>
      <c r="D167" t="s">
        <v>42</v>
      </c>
      <c r="I167" s="18" t="e">
        <f>INDEX(M:M,MATCH(A166,O:O,0))</f>
        <v>#N/A</v>
      </c>
      <c r="J167" s="18" t="e">
        <f>INDEX(U:U,MATCH(A166,W:W,0))</f>
        <v>#N/A</v>
      </c>
      <c r="K167" s="19" t="s">
        <v>539</v>
      </c>
    </row>
    <row r="168" spans="1:11" x14ac:dyDescent="0.3">
      <c r="A168" t="s">
        <v>311</v>
      </c>
      <c r="B168" t="s">
        <v>131</v>
      </c>
      <c r="C168" t="s">
        <v>114</v>
      </c>
      <c r="D168" t="s">
        <v>33</v>
      </c>
      <c r="I168" s="17" t="e">
        <f>INDEX(N:N,MATCH(A168,O:O,0))/100</f>
        <v>#N/A</v>
      </c>
      <c r="J168" s="17" t="e">
        <f>INDEX(V:V,MATCH(A168,W:W,0))/100</f>
        <v>#N/A</v>
      </c>
      <c r="K168" s="18" t="s">
        <v>545</v>
      </c>
    </row>
    <row r="169" spans="1:11" x14ac:dyDescent="0.3">
      <c r="A169" t="s">
        <v>311</v>
      </c>
      <c r="B169" t="s">
        <v>131</v>
      </c>
      <c r="C169" t="s">
        <v>114</v>
      </c>
      <c r="D169" t="s">
        <v>33</v>
      </c>
      <c r="I169" s="18" t="e">
        <f>INDEX(M:M,MATCH(A168,O:O,0))</f>
        <v>#N/A</v>
      </c>
      <c r="J169" s="18" t="e">
        <f>INDEX(U:U,MATCH(A168,W:W,0))</f>
        <v>#N/A</v>
      </c>
      <c r="K169" s="19" t="s">
        <v>539</v>
      </c>
    </row>
    <row r="170" spans="1:11" x14ac:dyDescent="0.3">
      <c r="A170" t="s">
        <v>312</v>
      </c>
      <c r="B170" t="s">
        <v>131</v>
      </c>
      <c r="C170" t="s">
        <v>124</v>
      </c>
      <c r="D170" t="s">
        <v>5</v>
      </c>
      <c r="I170" s="17" t="e">
        <f>INDEX(N:N,MATCH(A170,O:O,0))/100</f>
        <v>#N/A</v>
      </c>
      <c r="J170" s="17" t="e">
        <f>INDEX(V:V,MATCH(A170,W:W,0))/100</f>
        <v>#N/A</v>
      </c>
      <c r="K170" s="18" t="s">
        <v>545</v>
      </c>
    </row>
    <row r="171" spans="1:11" x14ac:dyDescent="0.3">
      <c r="A171" t="s">
        <v>312</v>
      </c>
      <c r="B171" t="s">
        <v>131</v>
      </c>
      <c r="C171" t="s">
        <v>124</v>
      </c>
      <c r="D171" t="s">
        <v>5</v>
      </c>
      <c r="I171" s="18" t="e">
        <f>INDEX(M:M,MATCH(A170,O:O,0))</f>
        <v>#N/A</v>
      </c>
      <c r="J171" s="18" t="e">
        <f>INDEX(U:U,MATCH(A170,W:W,0))</f>
        <v>#N/A</v>
      </c>
      <c r="K171" s="19" t="s">
        <v>539</v>
      </c>
    </row>
    <row r="172" spans="1:11" x14ac:dyDescent="0.3">
      <c r="A172" t="s">
        <v>313</v>
      </c>
      <c r="B172" t="s">
        <v>131</v>
      </c>
      <c r="C172" t="s">
        <v>124</v>
      </c>
      <c r="D172" t="s">
        <v>6</v>
      </c>
      <c r="I172" s="17" t="e">
        <f>INDEX(N:N,MATCH(A172,O:O,0))/100</f>
        <v>#N/A</v>
      </c>
      <c r="J172" s="17" t="e">
        <f>INDEX(V:V,MATCH(A172,W:W,0))/100</f>
        <v>#N/A</v>
      </c>
      <c r="K172" s="18" t="s">
        <v>545</v>
      </c>
    </row>
    <row r="173" spans="1:11" x14ac:dyDescent="0.3">
      <c r="A173" t="s">
        <v>313</v>
      </c>
      <c r="B173" t="s">
        <v>131</v>
      </c>
      <c r="C173" t="s">
        <v>124</v>
      </c>
      <c r="D173" t="s">
        <v>6</v>
      </c>
      <c r="I173" s="18" t="e">
        <f>INDEX(M:M,MATCH(A172,O:O,0))</f>
        <v>#N/A</v>
      </c>
      <c r="J173" s="18" t="e">
        <f>INDEX(U:U,MATCH(A172,W:W,0))</f>
        <v>#N/A</v>
      </c>
      <c r="K173" s="19" t="s">
        <v>539</v>
      </c>
    </row>
    <row r="174" spans="1:11" x14ac:dyDescent="0.3">
      <c r="A174" t="s">
        <v>314</v>
      </c>
      <c r="B174" t="s">
        <v>131</v>
      </c>
      <c r="C174" t="s">
        <v>124</v>
      </c>
      <c r="D174" t="s">
        <v>7</v>
      </c>
      <c r="I174" s="17" t="e">
        <f>INDEX(N:N,MATCH(A174,O:O,0))/100</f>
        <v>#N/A</v>
      </c>
      <c r="J174" s="17" t="e">
        <f>INDEX(V:V,MATCH(A174,W:W,0))/100</f>
        <v>#N/A</v>
      </c>
      <c r="K174" s="18" t="s">
        <v>545</v>
      </c>
    </row>
    <row r="175" spans="1:11" x14ac:dyDescent="0.3">
      <c r="A175" t="s">
        <v>314</v>
      </c>
      <c r="B175" t="s">
        <v>131</v>
      </c>
      <c r="C175" t="s">
        <v>124</v>
      </c>
      <c r="D175" t="s">
        <v>7</v>
      </c>
      <c r="I175" s="18" t="e">
        <f>INDEX(M:M,MATCH(A174,O:O,0))</f>
        <v>#N/A</v>
      </c>
      <c r="J175" s="18" t="e">
        <f>INDEX(U:U,MATCH(A174,W:W,0))</f>
        <v>#N/A</v>
      </c>
      <c r="K175" s="19" t="s">
        <v>539</v>
      </c>
    </row>
    <row r="176" spans="1:11" x14ac:dyDescent="0.3">
      <c r="A176" t="s">
        <v>315</v>
      </c>
      <c r="B176" t="s">
        <v>131</v>
      </c>
      <c r="C176" t="s">
        <v>124</v>
      </c>
      <c r="D176" t="s">
        <v>8</v>
      </c>
      <c r="I176" s="17" t="e">
        <f>INDEX(N:N,MATCH(A176,O:O,0))/100</f>
        <v>#N/A</v>
      </c>
      <c r="J176" s="17" t="e">
        <f>INDEX(V:V,MATCH(A176,W:W,0))/100</f>
        <v>#N/A</v>
      </c>
      <c r="K176" s="18" t="s">
        <v>545</v>
      </c>
    </row>
    <row r="177" spans="1:11" x14ac:dyDescent="0.3">
      <c r="A177" t="s">
        <v>315</v>
      </c>
      <c r="B177" t="s">
        <v>131</v>
      </c>
      <c r="C177" t="s">
        <v>124</v>
      </c>
      <c r="D177" t="s">
        <v>8</v>
      </c>
      <c r="I177" s="18" t="e">
        <f>INDEX(M:M,MATCH(A176,O:O,0))</f>
        <v>#N/A</v>
      </c>
      <c r="J177" s="18" t="e">
        <f>INDEX(U:U,MATCH(A176,W:W,0))</f>
        <v>#N/A</v>
      </c>
      <c r="K177" s="19" t="s">
        <v>539</v>
      </c>
    </row>
    <row r="178" spans="1:11" x14ac:dyDescent="0.3">
      <c r="A178" t="s">
        <v>316</v>
      </c>
      <c r="B178" t="s">
        <v>131</v>
      </c>
      <c r="C178" t="s">
        <v>124</v>
      </c>
      <c r="D178" t="s">
        <v>9</v>
      </c>
      <c r="I178" s="17" t="e">
        <f>INDEX(N:N,MATCH(A178,O:O,0))/100</f>
        <v>#N/A</v>
      </c>
      <c r="J178" s="17" t="e">
        <f>INDEX(V:V,MATCH(A178,W:W,0))/100</f>
        <v>#N/A</v>
      </c>
      <c r="K178" s="18" t="s">
        <v>545</v>
      </c>
    </row>
    <row r="179" spans="1:11" x14ac:dyDescent="0.3">
      <c r="A179" t="s">
        <v>316</v>
      </c>
      <c r="B179" t="s">
        <v>131</v>
      </c>
      <c r="C179" t="s">
        <v>124</v>
      </c>
      <c r="D179" t="s">
        <v>9</v>
      </c>
      <c r="I179" s="18" t="e">
        <f>INDEX(M:M,MATCH(A178,O:O,0))</f>
        <v>#N/A</v>
      </c>
      <c r="J179" s="18" t="e">
        <f>INDEX(U:U,MATCH(A178,W:W,0))</f>
        <v>#N/A</v>
      </c>
      <c r="K179" s="19" t="s">
        <v>539</v>
      </c>
    </row>
    <row r="180" spans="1:11" x14ac:dyDescent="0.3">
      <c r="A180" t="s">
        <v>317</v>
      </c>
      <c r="B180" t="s">
        <v>131</v>
      </c>
      <c r="C180" t="s">
        <v>124</v>
      </c>
      <c r="D180" t="s">
        <v>10</v>
      </c>
      <c r="I180" s="17" t="e">
        <f>INDEX(N:N,MATCH(A180,O:O,0))/100</f>
        <v>#N/A</v>
      </c>
      <c r="J180" s="17" t="e">
        <f>INDEX(V:V,MATCH(A180,W:W,0))/100</f>
        <v>#N/A</v>
      </c>
      <c r="K180" s="18" t="s">
        <v>545</v>
      </c>
    </row>
    <row r="181" spans="1:11" x14ac:dyDescent="0.3">
      <c r="A181" t="s">
        <v>317</v>
      </c>
      <c r="B181" t="s">
        <v>131</v>
      </c>
      <c r="C181" t="s">
        <v>124</v>
      </c>
      <c r="D181" t="s">
        <v>10</v>
      </c>
      <c r="I181" s="18" t="e">
        <f>INDEX(M:M,MATCH(A180,O:O,0))</f>
        <v>#N/A</v>
      </c>
      <c r="J181" s="18" t="e">
        <f>INDEX(U:U,MATCH(A180,W:W,0))</f>
        <v>#N/A</v>
      </c>
      <c r="K181" s="19" t="s">
        <v>539</v>
      </c>
    </row>
    <row r="182" spans="1:11" x14ac:dyDescent="0.3">
      <c r="A182" t="s">
        <v>318</v>
      </c>
      <c r="B182" t="s">
        <v>131</v>
      </c>
      <c r="C182" t="s">
        <v>124</v>
      </c>
      <c r="D182" t="s">
        <v>13</v>
      </c>
      <c r="I182" s="17" t="e">
        <f>INDEX(N:N,MATCH(A182,O:O,0))/100</f>
        <v>#N/A</v>
      </c>
      <c r="J182" s="17" t="e">
        <f>INDEX(V:V,MATCH(A182,W:W,0))/100</f>
        <v>#N/A</v>
      </c>
      <c r="K182" s="18" t="s">
        <v>545</v>
      </c>
    </row>
    <row r="183" spans="1:11" x14ac:dyDescent="0.3">
      <c r="A183" t="s">
        <v>318</v>
      </c>
      <c r="B183" t="s">
        <v>131</v>
      </c>
      <c r="C183" t="s">
        <v>124</v>
      </c>
      <c r="D183" t="s">
        <v>13</v>
      </c>
      <c r="I183" s="18" t="e">
        <f>INDEX(M:M,MATCH(A182,O:O,0))</f>
        <v>#N/A</v>
      </c>
      <c r="J183" s="18" t="e">
        <f>INDEX(U:U,MATCH(A182,W:W,0))</f>
        <v>#N/A</v>
      </c>
      <c r="K183" s="19" t="s">
        <v>539</v>
      </c>
    </row>
    <row r="184" spans="1:11" x14ac:dyDescent="0.3">
      <c r="A184" t="s">
        <v>319</v>
      </c>
      <c r="B184" t="s">
        <v>131</v>
      </c>
      <c r="C184" t="s">
        <v>124</v>
      </c>
      <c r="D184" t="s">
        <v>14</v>
      </c>
      <c r="I184" s="17" t="e">
        <f>INDEX(N:N,MATCH(A184,O:O,0))/100</f>
        <v>#N/A</v>
      </c>
      <c r="J184" s="17" t="e">
        <f>INDEX(V:V,MATCH(A184,W:W,0))/100</f>
        <v>#N/A</v>
      </c>
      <c r="K184" s="18" t="s">
        <v>545</v>
      </c>
    </row>
    <row r="185" spans="1:11" x14ac:dyDescent="0.3">
      <c r="A185" t="s">
        <v>319</v>
      </c>
      <c r="B185" t="s">
        <v>131</v>
      </c>
      <c r="C185" t="s">
        <v>124</v>
      </c>
      <c r="D185" t="s">
        <v>14</v>
      </c>
      <c r="I185" s="18" t="e">
        <f>INDEX(M:M,MATCH(A184,O:O,0))</f>
        <v>#N/A</v>
      </c>
      <c r="J185" s="18" t="e">
        <f>INDEX(U:U,MATCH(A184,W:W,0))</f>
        <v>#N/A</v>
      </c>
      <c r="K185" s="19" t="s">
        <v>539</v>
      </c>
    </row>
    <row r="186" spans="1:11" x14ac:dyDescent="0.3">
      <c r="A186" t="s">
        <v>320</v>
      </c>
      <c r="B186" t="s">
        <v>131</v>
      </c>
      <c r="C186" t="s">
        <v>124</v>
      </c>
      <c r="D186" t="s">
        <v>11</v>
      </c>
      <c r="I186" s="17" t="e">
        <f>INDEX(N:N,MATCH(A186,O:O,0))/100</f>
        <v>#N/A</v>
      </c>
      <c r="J186" s="17" t="e">
        <f>INDEX(V:V,MATCH(A186,W:W,0))/100</f>
        <v>#N/A</v>
      </c>
      <c r="K186" s="18" t="s">
        <v>545</v>
      </c>
    </row>
    <row r="187" spans="1:11" x14ac:dyDescent="0.3">
      <c r="A187" t="s">
        <v>320</v>
      </c>
      <c r="B187" t="s">
        <v>131</v>
      </c>
      <c r="C187" t="s">
        <v>124</v>
      </c>
      <c r="D187" t="s">
        <v>11</v>
      </c>
      <c r="I187" s="18" t="e">
        <f>INDEX(M:M,MATCH(A186,O:O,0))</f>
        <v>#N/A</v>
      </c>
      <c r="J187" s="18" t="e">
        <f>INDEX(U:U,MATCH(A186,W:W,0))</f>
        <v>#N/A</v>
      </c>
      <c r="K187" s="19" t="s">
        <v>539</v>
      </c>
    </row>
    <row r="188" spans="1:11" x14ac:dyDescent="0.3">
      <c r="A188" t="s">
        <v>321</v>
      </c>
      <c r="B188" t="s">
        <v>131</v>
      </c>
      <c r="C188" t="s">
        <v>124</v>
      </c>
      <c r="D188" t="s">
        <v>23</v>
      </c>
      <c r="I188" s="17" t="e">
        <f>INDEX(N:N,MATCH(A188,O:O,0))/100</f>
        <v>#N/A</v>
      </c>
      <c r="J188" s="17" t="e">
        <f>INDEX(V:V,MATCH(A188,W:W,0))/100</f>
        <v>#N/A</v>
      </c>
      <c r="K188" s="18" t="s">
        <v>545</v>
      </c>
    </row>
    <row r="189" spans="1:11" x14ac:dyDescent="0.3">
      <c r="A189" t="s">
        <v>321</v>
      </c>
      <c r="B189" t="s">
        <v>131</v>
      </c>
      <c r="C189" t="s">
        <v>124</v>
      </c>
      <c r="D189" t="s">
        <v>23</v>
      </c>
      <c r="I189" s="18" t="e">
        <f>INDEX(M:M,MATCH(A188,O:O,0))</f>
        <v>#N/A</v>
      </c>
      <c r="J189" s="18" t="e">
        <f>INDEX(U:U,MATCH(A188,W:W,0))</f>
        <v>#N/A</v>
      </c>
      <c r="K189" s="19" t="s">
        <v>539</v>
      </c>
    </row>
    <row r="190" spans="1:11" x14ac:dyDescent="0.3">
      <c r="A190" t="s">
        <v>322</v>
      </c>
      <c r="B190" t="s">
        <v>131</v>
      </c>
      <c r="C190" t="s">
        <v>124</v>
      </c>
      <c r="D190" t="s">
        <v>24</v>
      </c>
      <c r="I190" s="17" t="e">
        <f>INDEX(N:N,MATCH(A190,O:O,0))/100</f>
        <v>#N/A</v>
      </c>
      <c r="J190" s="17" t="e">
        <f>INDEX(V:V,MATCH(A190,W:W,0))/100</f>
        <v>#N/A</v>
      </c>
      <c r="K190" s="18" t="s">
        <v>545</v>
      </c>
    </row>
    <row r="191" spans="1:11" x14ac:dyDescent="0.3">
      <c r="A191" t="s">
        <v>322</v>
      </c>
      <c r="B191" t="s">
        <v>131</v>
      </c>
      <c r="C191" t="s">
        <v>124</v>
      </c>
      <c r="D191" t="s">
        <v>24</v>
      </c>
      <c r="I191" s="18" t="e">
        <f>INDEX(M:M,MATCH(A190,O:O,0))</f>
        <v>#N/A</v>
      </c>
      <c r="J191" s="18" t="e">
        <f>INDEX(U:U,MATCH(A190,W:W,0))</f>
        <v>#N/A</v>
      </c>
      <c r="K191" s="19" t="s">
        <v>539</v>
      </c>
    </row>
    <row r="192" spans="1:11" x14ac:dyDescent="0.3">
      <c r="A192" t="s">
        <v>323</v>
      </c>
      <c r="B192" t="s">
        <v>131</v>
      </c>
      <c r="C192" t="s">
        <v>124</v>
      </c>
      <c r="D192" t="s">
        <v>25</v>
      </c>
      <c r="I192" s="17" t="e">
        <f>INDEX(N:N,MATCH(A192,O:O,0))/100</f>
        <v>#N/A</v>
      </c>
      <c r="J192" s="17" t="e">
        <f>INDEX(V:V,MATCH(A192,W:W,0))/100</f>
        <v>#N/A</v>
      </c>
      <c r="K192" s="18" t="s">
        <v>545</v>
      </c>
    </row>
    <row r="193" spans="1:11" x14ac:dyDescent="0.3">
      <c r="A193" t="s">
        <v>323</v>
      </c>
      <c r="B193" t="s">
        <v>131</v>
      </c>
      <c r="C193" t="s">
        <v>124</v>
      </c>
      <c r="D193" t="s">
        <v>25</v>
      </c>
      <c r="I193" s="18" t="e">
        <f>INDEX(M:M,MATCH(A192,O:O,0))</f>
        <v>#N/A</v>
      </c>
      <c r="J193" s="18" t="e">
        <f>INDEX(U:U,MATCH(A192,W:W,0))</f>
        <v>#N/A</v>
      </c>
      <c r="K193" s="19" t="s">
        <v>539</v>
      </c>
    </row>
    <row r="194" spans="1:11" x14ac:dyDescent="0.3">
      <c r="A194" t="s">
        <v>324</v>
      </c>
      <c r="B194" t="s">
        <v>131</v>
      </c>
      <c r="C194" t="s">
        <v>124</v>
      </c>
      <c r="D194" t="s">
        <v>26</v>
      </c>
      <c r="I194" s="17" t="e">
        <f>INDEX(N:N,MATCH(A194,O:O,0))/100</f>
        <v>#N/A</v>
      </c>
      <c r="J194" s="17" t="e">
        <f>INDEX(V:V,MATCH(A194,W:W,0))/100</f>
        <v>#N/A</v>
      </c>
      <c r="K194" s="18" t="s">
        <v>545</v>
      </c>
    </row>
    <row r="195" spans="1:11" x14ac:dyDescent="0.3">
      <c r="A195" t="s">
        <v>324</v>
      </c>
      <c r="B195" t="s">
        <v>131</v>
      </c>
      <c r="C195" t="s">
        <v>124</v>
      </c>
      <c r="D195" t="s">
        <v>26</v>
      </c>
      <c r="I195" s="18" t="e">
        <f>INDEX(M:M,MATCH(A194,O:O,0))</f>
        <v>#N/A</v>
      </c>
      <c r="J195" s="18" t="e">
        <f>INDEX(U:U,MATCH(A194,W:W,0))</f>
        <v>#N/A</v>
      </c>
      <c r="K195" s="19" t="s">
        <v>539</v>
      </c>
    </row>
    <row r="196" spans="1:11" x14ac:dyDescent="0.3">
      <c r="A196" t="s">
        <v>325</v>
      </c>
      <c r="B196" t="s">
        <v>131</v>
      </c>
      <c r="C196" t="s">
        <v>124</v>
      </c>
      <c r="D196" t="s">
        <v>27</v>
      </c>
      <c r="I196" s="17" t="e">
        <f>INDEX(N:N,MATCH(A196,O:O,0))/100</f>
        <v>#N/A</v>
      </c>
      <c r="J196" s="17" t="e">
        <f>INDEX(V:V,MATCH(A196,W:W,0))/100</f>
        <v>#N/A</v>
      </c>
      <c r="K196" s="18" t="s">
        <v>545</v>
      </c>
    </row>
    <row r="197" spans="1:11" x14ac:dyDescent="0.3">
      <c r="A197" t="s">
        <v>325</v>
      </c>
      <c r="B197" t="s">
        <v>131</v>
      </c>
      <c r="C197" t="s">
        <v>124</v>
      </c>
      <c r="D197" t="s">
        <v>27</v>
      </c>
      <c r="I197" s="18" t="e">
        <f>INDEX(M:M,MATCH(A196,O:O,0))</f>
        <v>#N/A</v>
      </c>
      <c r="J197" s="18" t="e">
        <f>INDEX(U:U,MATCH(A196,W:W,0))</f>
        <v>#N/A</v>
      </c>
      <c r="K197" s="19" t="s">
        <v>539</v>
      </c>
    </row>
    <row r="198" spans="1:11" x14ac:dyDescent="0.3">
      <c r="A198" t="s">
        <v>326</v>
      </c>
      <c r="B198" t="s">
        <v>131</v>
      </c>
      <c r="C198" t="s">
        <v>124</v>
      </c>
      <c r="D198" t="s">
        <v>32</v>
      </c>
      <c r="I198" s="17" t="e">
        <f>INDEX(N:N,MATCH(A198,O:O,0))/100</f>
        <v>#N/A</v>
      </c>
      <c r="J198" s="17" t="e">
        <f>INDEX(V:V,MATCH(A198,W:W,0))/100</f>
        <v>#N/A</v>
      </c>
      <c r="K198" s="18" t="s">
        <v>545</v>
      </c>
    </row>
    <row r="199" spans="1:11" x14ac:dyDescent="0.3">
      <c r="A199" t="s">
        <v>326</v>
      </c>
      <c r="B199" t="s">
        <v>131</v>
      </c>
      <c r="C199" t="s">
        <v>124</v>
      </c>
      <c r="D199" t="s">
        <v>32</v>
      </c>
      <c r="I199" s="18" t="e">
        <f>INDEX(M:M,MATCH(A198,O:O,0))</f>
        <v>#N/A</v>
      </c>
      <c r="J199" s="18" t="e">
        <f>INDEX(U:U,MATCH(A198,W:W,0))</f>
        <v>#N/A</v>
      </c>
      <c r="K199" s="19" t="s">
        <v>539</v>
      </c>
    </row>
    <row r="200" spans="1:11" x14ac:dyDescent="0.3">
      <c r="A200" t="s">
        <v>327</v>
      </c>
      <c r="B200" t="s">
        <v>131</v>
      </c>
      <c r="C200" t="s">
        <v>124</v>
      </c>
      <c r="D200" t="s">
        <v>37</v>
      </c>
      <c r="I200" s="17" t="e">
        <f>INDEX(N:N,MATCH(A200,O:O,0))/100</f>
        <v>#N/A</v>
      </c>
      <c r="J200" s="17" t="e">
        <f>INDEX(V:V,MATCH(A200,W:W,0))/100</f>
        <v>#N/A</v>
      </c>
      <c r="K200" s="18" t="s">
        <v>545</v>
      </c>
    </row>
    <row r="201" spans="1:11" x14ac:dyDescent="0.3">
      <c r="A201" t="s">
        <v>327</v>
      </c>
      <c r="B201" t="s">
        <v>131</v>
      </c>
      <c r="C201" t="s">
        <v>124</v>
      </c>
      <c r="D201" t="s">
        <v>37</v>
      </c>
      <c r="I201" s="18" t="e">
        <f>INDEX(M:M,MATCH(A200,O:O,0))</f>
        <v>#N/A</v>
      </c>
      <c r="J201" s="18" t="e">
        <f>INDEX(U:U,MATCH(A200,W:W,0))</f>
        <v>#N/A</v>
      </c>
      <c r="K201" s="19" t="s">
        <v>539</v>
      </c>
    </row>
    <row r="202" spans="1:11" x14ac:dyDescent="0.3">
      <c r="A202" t="s">
        <v>328</v>
      </c>
      <c r="B202" t="s">
        <v>131</v>
      </c>
      <c r="C202" t="s">
        <v>124</v>
      </c>
      <c r="D202" t="s">
        <v>29</v>
      </c>
      <c r="I202" s="17" t="e">
        <f>INDEX(N:N,MATCH(A202,O:O,0))/100</f>
        <v>#N/A</v>
      </c>
      <c r="J202" s="17" t="e">
        <f>INDEX(V:V,MATCH(A202,W:W,0))/100</f>
        <v>#N/A</v>
      </c>
      <c r="K202" s="18" t="s">
        <v>545</v>
      </c>
    </row>
    <row r="203" spans="1:11" x14ac:dyDescent="0.3">
      <c r="A203" t="s">
        <v>328</v>
      </c>
      <c r="B203" t="s">
        <v>131</v>
      </c>
      <c r="C203" t="s">
        <v>124</v>
      </c>
      <c r="D203" t="s">
        <v>29</v>
      </c>
      <c r="I203" s="18" t="e">
        <f>INDEX(M:M,MATCH(A202,O:O,0))</f>
        <v>#N/A</v>
      </c>
      <c r="J203" s="18" t="e">
        <f>INDEX(U:U,MATCH(A202,W:W,0))</f>
        <v>#N/A</v>
      </c>
      <c r="K203" s="19" t="s">
        <v>539</v>
      </c>
    </row>
    <row r="204" spans="1:11" x14ac:dyDescent="0.3">
      <c r="A204" t="s">
        <v>329</v>
      </c>
      <c r="B204" t="s">
        <v>131</v>
      </c>
      <c r="C204" t="s">
        <v>124</v>
      </c>
      <c r="D204" t="s">
        <v>15</v>
      </c>
      <c r="I204" s="17" t="e">
        <f>INDEX(N:N,MATCH(A204,O:O,0))/100</f>
        <v>#N/A</v>
      </c>
      <c r="J204" s="17" t="e">
        <f>INDEX(V:V,MATCH(A204,W:W,0))/100</f>
        <v>#N/A</v>
      </c>
      <c r="K204" s="18" t="s">
        <v>545</v>
      </c>
    </row>
    <row r="205" spans="1:11" x14ac:dyDescent="0.3">
      <c r="A205" t="s">
        <v>329</v>
      </c>
      <c r="B205" t="s">
        <v>131</v>
      </c>
      <c r="C205" t="s">
        <v>124</v>
      </c>
      <c r="D205" t="s">
        <v>15</v>
      </c>
      <c r="I205" s="18" t="e">
        <f>INDEX(M:M,MATCH(A204,O:O,0))</f>
        <v>#N/A</v>
      </c>
      <c r="J205" s="18" t="e">
        <f>INDEX(U:U,MATCH(A204,W:W,0))</f>
        <v>#N/A</v>
      </c>
      <c r="K205" s="19" t="s">
        <v>539</v>
      </c>
    </row>
    <row r="206" spans="1:11" x14ac:dyDescent="0.3">
      <c r="A206" s="12" t="s">
        <v>330</v>
      </c>
      <c r="B206" t="s">
        <v>131</v>
      </c>
      <c r="C206" t="s">
        <v>124</v>
      </c>
      <c r="D206" t="s">
        <v>20</v>
      </c>
      <c r="I206" s="17" t="e">
        <f>INDEX(N:N,MATCH(A206,O:O,0))/100</f>
        <v>#N/A</v>
      </c>
      <c r="J206" s="17" t="e">
        <f>INDEX(V:V,MATCH(A206,W:W,0))/100</f>
        <v>#N/A</v>
      </c>
      <c r="K206" s="18" t="s">
        <v>545</v>
      </c>
    </row>
    <row r="207" spans="1:11" x14ac:dyDescent="0.3">
      <c r="A207" s="12" t="s">
        <v>330</v>
      </c>
      <c r="B207" t="s">
        <v>131</v>
      </c>
      <c r="C207" t="s">
        <v>124</v>
      </c>
      <c r="D207" t="s">
        <v>20</v>
      </c>
      <c r="I207" s="18" t="e">
        <f>INDEX(M:M,MATCH(A206,O:O,0))</f>
        <v>#N/A</v>
      </c>
      <c r="J207" s="18" t="e">
        <f>INDEX(U:U,MATCH(A206,W:W,0))</f>
        <v>#N/A</v>
      </c>
      <c r="K207" s="19" t="s">
        <v>539</v>
      </c>
    </row>
    <row r="208" spans="1:11" x14ac:dyDescent="0.3">
      <c r="A208" t="s">
        <v>331</v>
      </c>
      <c r="B208" t="s">
        <v>131</v>
      </c>
      <c r="C208" t="s">
        <v>124</v>
      </c>
      <c r="D208" t="s">
        <v>42</v>
      </c>
      <c r="I208" s="17" t="e">
        <f>INDEX(N:N,MATCH(A208,O:O,0))/100</f>
        <v>#N/A</v>
      </c>
      <c r="J208" s="17" t="e">
        <f>INDEX(V:V,MATCH(A208,W:W,0))/100</f>
        <v>#N/A</v>
      </c>
      <c r="K208" s="18" t="s">
        <v>545</v>
      </c>
    </row>
    <row r="209" spans="1:11" x14ac:dyDescent="0.3">
      <c r="A209" t="s">
        <v>331</v>
      </c>
      <c r="B209" t="s">
        <v>131</v>
      </c>
      <c r="C209" t="s">
        <v>124</v>
      </c>
      <c r="D209" t="s">
        <v>42</v>
      </c>
      <c r="I209" s="18" t="e">
        <f>INDEX(M:M,MATCH(A208,O:O,0))</f>
        <v>#N/A</v>
      </c>
      <c r="J209" s="18" t="e">
        <f>INDEX(U:U,MATCH(A208,W:W,0))</f>
        <v>#N/A</v>
      </c>
      <c r="K209" s="19" t="s">
        <v>539</v>
      </c>
    </row>
    <row r="210" spans="1:11" x14ac:dyDescent="0.3">
      <c r="A210" t="s">
        <v>332</v>
      </c>
      <c r="B210" t="s">
        <v>131</v>
      </c>
      <c r="C210" t="s">
        <v>124</v>
      </c>
      <c r="D210" t="s">
        <v>33</v>
      </c>
      <c r="I210" s="17" t="e">
        <f>INDEX(N:N,MATCH(A210,O:O,0))/100</f>
        <v>#N/A</v>
      </c>
      <c r="J210" s="17" t="e">
        <f>INDEX(V:V,MATCH(A210,W:W,0))/100</f>
        <v>#N/A</v>
      </c>
      <c r="K210" s="18" t="s">
        <v>545</v>
      </c>
    </row>
    <row r="211" spans="1:11" x14ac:dyDescent="0.3">
      <c r="A211" t="s">
        <v>332</v>
      </c>
      <c r="B211" t="s">
        <v>131</v>
      </c>
      <c r="C211" t="s">
        <v>124</v>
      </c>
      <c r="D211" t="s">
        <v>33</v>
      </c>
      <c r="I211" s="18" t="e">
        <f>INDEX(M:M,MATCH(A210,O:O,0))</f>
        <v>#N/A</v>
      </c>
      <c r="J211" s="18" t="e">
        <f>INDEX(U:U,MATCH(A210,W:W,0))</f>
        <v>#N/A</v>
      </c>
      <c r="K211" s="19" t="s">
        <v>539</v>
      </c>
    </row>
    <row r="212" spans="1:11" x14ac:dyDescent="0.3">
      <c r="A212" t="s">
        <v>333</v>
      </c>
      <c r="B212" t="s">
        <v>546</v>
      </c>
      <c r="I212" s="17" t="e">
        <f>INDEX(N:N,MATCH(A212,O:O,0))/100</f>
        <v>#N/A</v>
      </c>
      <c r="J212" s="17" t="e">
        <f>INDEX(V:V,MATCH(A212,W:W,0))/100</f>
        <v>#N/A</v>
      </c>
      <c r="K212" s="18" t="s">
        <v>545</v>
      </c>
    </row>
    <row r="213" spans="1:11" x14ac:dyDescent="0.3">
      <c r="A213" t="s">
        <v>333</v>
      </c>
      <c r="B213" t="s">
        <v>546</v>
      </c>
      <c r="I213" s="18" t="e">
        <f>INDEX(M:M,MATCH(A212,O:O,0))</f>
        <v>#N/A</v>
      </c>
      <c r="J213" s="18" t="e">
        <f>INDEX(U:U,MATCH(A212,W:W,0))</f>
        <v>#N/A</v>
      </c>
      <c r="K213" s="19" t="s">
        <v>539</v>
      </c>
    </row>
    <row r="214" spans="1:11" x14ac:dyDescent="0.3">
      <c r="A214" t="s">
        <v>334</v>
      </c>
      <c r="B214" t="s">
        <v>132</v>
      </c>
      <c r="C214" t="s">
        <v>114</v>
      </c>
      <c r="D214" t="s">
        <v>36</v>
      </c>
      <c r="I214" s="17" t="e">
        <f>INDEX(N:N,MATCH(A214,O:O,0))/100</f>
        <v>#N/A</v>
      </c>
      <c r="J214" s="17" t="e">
        <f>INDEX(V:V,MATCH(A214,W:W,0))/100</f>
        <v>#N/A</v>
      </c>
      <c r="K214" s="18" t="s">
        <v>545</v>
      </c>
    </row>
    <row r="215" spans="1:11" x14ac:dyDescent="0.3">
      <c r="A215" t="s">
        <v>334</v>
      </c>
      <c r="B215" t="s">
        <v>132</v>
      </c>
      <c r="C215" t="s">
        <v>114</v>
      </c>
      <c r="D215" t="s">
        <v>36</v>
      </c>
      <c r="I215" s="18" t="e">
        <f>INDEX(M:M,MATCH(A214,O:O,0))</f>
        <v>#N/A</v>
      </c>
      <c r="J215" s="18" t="e">
        <f>INDEX(U:U,MATCH(A214,W:W,0))</f>
        <v>#N/A</v>
      </c>
      <c r="K215" s="19" t="s">
        <v>539</v>
      </c>
    </row>
    <row r="216" spans="1:11" x14ac:dyDescent="0.3">
      <c r="A216" t="s">
        <v>335</v>
      </c>
      <c r="B216" t="s">
        <v>132</v>
      </c>
      <c r="C216" t="s">
        <v>124</v>
      </c>
      <c r="D216" t="s">
        <v>36</v>
      </c>
      <c r="I216" s="17" t="e">
        <f>INDEX(N:N,MATCH(A216,O:O,0))/100</f>
        <v>#N/A</v>
      </c>
      <c r="J216" s="17" t="e">
        <f>INDEX(V:V,MATCH(A216,W:W,0))/100</f>
        <v>#N/A</v>
      </c>
      <c r="K216" s="18" t="s">
        <v>545</v>
      </c>
    </row>
    <row r="217" spans="1:11" x14ac:dyDescent="0.3">
      <c r="A217" t="s">
        <v>335</v>
      </c>
      <c r="B217" t="s">
        <v>132</v>
      </c>
      <c r="C217" t="s">
        <v>124</v>
      </c>
      <c r="D217" t="s">
        <v>36</v>
      </c>
      <c r="I217" s="18" t="e">
        <f>INDEX(M:M,MATCH(A216,O:O,0))</f>
        <v>#N/A</v>
      </c>
      <c r="J217" s="18" t="e">
        <f>INDEX(U:U,MATCH(A216,W:W,0))</f>
        <v>#N/A</v>
      </c>
      <c r="K217" s="19" t="s">
        <v>539</v>
      </c>
    </row>
    <row r="218" spans="1:11" x14ac:dyDescent="0.3">
      <c r="A218" t="s">
        <v>336</v>
      </c>
      <c r="B218" t="s">
        <v>132</v>
      </c>
      <c r="C218" t="s">
        <v>114</v>
      </c>
      <c r="D218" s="20" t="s">
        <v>37</v>
      </c>
      <c r="I218" s="17" t="e">
        <f>INDEX(N:N,MATCH(A218,O:O,0))/100</f>
        <v>#N/A</v>
      </c>
      <c r="J218" s="17" t="e">
        <f>INDEX(V:V,MATCH(A218,W:W,0))/100</f>
        <v>#N/A</v>
      </c>
      <c r="K218" s="18" t="s">
        <v>545</v>
      </c>
    </row>
    <row r="219" spans="1:11" x14ac:dyDescent="0.3">
      <c r="A219" t="s">
        <v>336</v>
      </c>
      <c r="B219" t="s">
        <v>132</v>
      </c>
      <c r="C219" t="s">
        <v>114</v>
      </c>
      <c r="D219" s="20" t="s">
        <v>37</v>
      </c>
      <c r="I219" s="18" t="e">
        <f>INDEX(M:M,MATCH(A218,O:O,0))</f>
        <v>#N/A</v>
      </c>
      <c r="J219" s="18" t="e">
        <f>INDEX(U:U,MATCH(A218,W:W,0))</f>
        <v>#N/A</v>
      </c>
      <c r="K219" s="19" t="s">
        <v>539</v>
      </c>
    </row>
    <row r="220" spans="1:11" x14ac:dyDescent="0.3">
      <c r="A220" t="s">
        <v>337</v>
      </c>
      <c r="B220" t="s">
        <v>132</v>
      </c>
      <c r="C220" t="s">
        <v>124</v>
      </c>
      <c r="D220" s="20" t="s">
        <v>37</v>
      </c>
      <c r="I220" s="17" t="e">
        <f>INDEX(N:N,MATCH(A220,O:O,0))/100</f>
        <v>#N/A</v>
      </c>
      <c r="J220" s="17" t="e">
        <f>INDEX(V:V,MATCH(A220,W:W,0))/100</f>
        <v>#N/A</v>
      </c>
      <c r="K220" s="18" t="s">
        <v>545</v>
      </c>
    </row>
    <row r="221" spans="1:11" x14ac:dyDescent="0.3">
      <c r="A221" t="s">
        <v>337</v>
      </c>
      <c r="B221" t="s">
        <v>132</v>
      </c>
      <c r="C221" t="s">
        <v>124</v>
      </c>
      <c r="D221" s="20" t="s">
        <v>37</v>
      </c>
      <c r="I221" s="18" t="e">
        <f>INDEX(M:M,MATCH(A220,O:O,0))</f>
        <v>#N/A</v>
      </c>
      <c r="J221" s="18" t="e">
        <f>INDEX(U:U,MATCH(A220,W:W,0))</f>
        <v>#N/A</v>
      </c>
      <c r="K221" s="19" t="s">
        <v>539</v>
      </c>
    </row>
    <row r="222" spans="1:11" x14ac:dyDescent="0.3">
      <c r="A222" t="s">
        <v>338</v>
      </c>
      <c r="B222" t="s">
        <v>132</v>
      </c>
      <c r="C222" t="s">
        <v>114</v>
      </c>
      <c r="D222" t="s">
        <v>41</v>
      </c>
      <c r="I222" s="17" t="e">
        <f>INDEX(N:N,MATCH(A222,O:O,0))/100</f>
        <v>#N/A</v>
      </c>
      <c r="J222" s="17" t="e">
        <f>INDEX(V:V,MATCH(A222,W:W,0))/100</f>
        <v>#N/A</v>
      </c>
      <c r="K222" s="18" t="s">
        <v>545</v>
      </c>
    </row>
    <row r="223" spans="1:11" x14ac:dyDescent="0.3">
      <c r="A223" t="s">
        <v>338</v>
      </c>
      <c r="B223" t="s">
        <v>132</v>
      </c>
      <c r="C223" t="s">
        <v>114</v>
      </c>
      <c r="D223" t="s">
        <v>41</v>
      </c>
      <c r="I223" s="18" t="e">
        <f>INDEX(M:M,MATCH(A222,O:O,0))</f>
        <v>#N/A</v>
      </c>
      <c r="J223" s="18" t="e">
        <f>INDEX(U:U,MATCH(A222,W:W,0))</f>
        <v>#N/A</v>
      </c>
      <c r="K223" s="19" t="s">
        <v>539</v>
      </c>
    </row>
    <row r="224" spans="1:11" x14ac:dyDescent="0.3">
      <c r="A224" t="s">
        <v>339</v>
      </c>
      <c r="B224" t="s">
        <v>132</v>
      </c>
      <c r="C224" t="s">
        <v>124</v>
      </c>
      <c r="D224" t="s">
        <v>41</v>
      </c>
      <c r="I224" s="17" t="e">
        <f>INDEX(N:N,MATCH(A224,O:O,0))/100</f>
        <v>#N/A</v>
      </c>
      <c r="J224" s="17" t="e">
        <f>INDEX(V:V,MATCH(A224,W:W,0))/100</f>
        <v>#N/A</v>
      </c>
      <c r="K224" s="18" t="s">
        <v>545</v>
      </c>
    </row>
    <row r="225" spans="1:11" x14ac:dyDescent="0.3">
      <c r="A225" t="s">
        <v>339</v>
      </c>
      <c r="B225" t="s">
        <v>132</v>
      </c>
      <c r="C225" t="s">
        <v>124</v>
      </c>
      <c r="D225" t="s">
        <v>41</v>
      </c>
      <c r="I225" s="18" t="e">
        <f>INDEX(M:M,MATCH(A224,O:O,0))</f>
        <v>#N/A</v>
      </c>
      <c r="J225" s="18" t="e">
        <f>INDEX(U:U,MATCH(A224,W:W,0))</f>
        <v>#N/A</v>
      </c>
      <c r="K225" s="19" t="s">
        <v>539</v>
      </c>
    </row>
    <row r="226" spans="1:11" x14ac:dyDescent="0.3">
      <c r="A226" t="s">
        <v>340</v>
      </c>
      <c r="B226" t="s">
        <v>132</v>
      </c>
      <c r="C226" t="s">
        <v>114</v>
      </c>
      <c r="D226" t="s">
        <v>42</v>
      </c>
      <c r="I226" s="17" t="e">
        <f>INDEX(N:N,MATCH(A226,O:O,0))/100</f>
        <v>#N/A</v>
      </c>
      <c r="J226" s="17" t="e">
        <f>INDEX(V:V,MATCH(A226,W:W,0))/100</f>
        <v>#N/A</v>
      </c>
      <c r="K226" s="18" t="s">
        <v>545</v>
      </c>
    </row>
    <row r="227" spans="1:11" x14ac:dyDescent="0.3">
      <c r="A227" t="s">
        <v>340</v>
      </c>
      <c r="B227" t="s">
        <v>132</v>
      </c>
      <c r="C227" t="s">
        <v>114</v>
      </c>
      <c r="D227" t="s">
        <v>42</v>
      </c>
      <c r="I227" s="18" t="e">
        <f>INDEX(M:M,MATCH(A226,O:O,0))</f>
        <v>#N/A</v>
      </c>
      <c r="J227" s="18" t="e">
        <f>INDEX(U:U,MATCH(A226,W:W,0))</f>
        <v>#N/A</v>
      </c>
      <c r="K227" s="19" t="s">
        <v>539</v>
      </c>
    </row>
    <row r="228" spans="1:11" x14ac:dyDescent="0.3">
      <c r="A228" t="s">
        <v>341</v>
      </c>
      <c r="B228" t="s">
        <v>132</v>
      </c>
      <c r="C228" t="s">
        <v>124</v>
      </c>
      <c r="D228" t="s">
        <v>42</v>
      </c>
      <c r="I228" s="17" t="e">
        <f>INDEX(N:N,MATCH(A228,O:O,0))/100</f>
        <v>#N/A</v>
      </c>
      <c r="J228" s="17" t="e">
        <f>INDEX(V:V,MATCH(A228,W:W,0))/100</f>
        <v>#N/A</v>
      </c>
      <c r="K228" s="18" t="s">
        <v>545</v>
      </c>
    </row>
    <row r="229" spans="1:11" x14ac:dyDescent="0.3">
      <c r="A229" t="s">
        <v>341</v>
      </c>
      <c r="B229" t="s">
        <v>132</v>
      </c>
      <c r="C229" t="s">
        <v>124</v>
      </c>
      <c r="D229" t="s">
        <v>42</v>
      </c>
      <c r="I229" s="18" t="e">
        <f>INDEX(M:M,MATCH(A228,O:O,0))</f>
        <v>#N/A</v>
      </c>
      <c r="J229" s="18" t="e">
        <f>INDEX(U:U,MATCH(A228,W:W,0))</f>
        <v>#N/A</v>
      </c>
      <c r="K229" s="19" t="s">
        <v>539</v>
      </c>
    </row>
    <row r="230" spans="1:11" x14ac:dyDescent="0.3">
      <c r="A230" t="s">
        <v>342</v>
      </c>
      <c r="B230" t="s">
        <v>132</v>
      </c>
      <c r="C230" t="s">
        <v>114</v>
      </c>
      <c r="D230" t="s">
        <v>46</v>
      </c>
      <c r="I230" s="17" t="e">
        <f>INDEX(N:N,MATCH(A230,O:O,0))/100</f>
        <v>#N/A</v>
      </c>
      <c r="J230" s="17" t="e">
        <f>INDEX(V:V,MATCH(A230,W:W,0))/100</f>
        <v>#N/A</v>
      </c>
      <c r="K230" s="18" t="s">
        <v>545</v>
      </c>
    </row>
    <row r="231" spans="1:11" x14ac:dyDescent="0.3">
      <c r="A231" t="s">
        <v>342</v>
      </c>
      <c r="B231" t="s">
        <v>132</v>
      </c>
      <c r="C231" t="s">
        <v>114</v>
      </c>
      <c r="D231" t="s">
        <v>46</v>
      </c>
      <c r="I231" s="18" t="e">
        <f>INDEX(M:M,MATCH(A230,O:O,0))</f>
        <v>#N/A</v>
      </c>
      <c r="J231" s="18" t="e">
        <f>INDEX(U:U,MATCH(A230,W:W,0))</f>
        <v>#N/A</v>
      </c>
      <c r="K231" s="19" t="s">
        <v>539</v>
      </c>
    </row>
    <row r="232" spans="1:11" x14ac:dyDescent="0.3">
      <c r="A232" t="s">
        <v>343</v>
      </c>
      <c r="B232" t="s">
        <v>132</v>
      </c>
      <c r="C232" t="s">
        <v>124</v>
      </c>
      <c r="D232" t="s">
        <v>46</v>
      </c>
      <c r="I232" s="17" t="e">
        <f>INDEX(N:N,MATCH(A232,O:O,0))/100</f>
        <v>#N/A</v>
      </c>
      <c r="J232" s="17" t="e">
        <f>INDEX(V:V,MATCH(A232,W:W,0))/100</f>
        <v>#N/A</v>
      </c>
      <c r="K232" s="18" t="s">
        <v>545</v>
      </c>
    </row>
    <row r="233" spans="1:11" x14ac:dyDescent="0.3">
      <c r="A233" t="s">
        <v>343</v>
      </c>
      <c r="B233" t="s">
        <v>132</v>
      </c>
      <c r="C233" t="s">
        <v>124</v>
      </c>
      <c r="D233" t="s">
        <v>46</v>
      </c>
      <c r="I233" s="18" t="e">
        <f>INDEX(M:M,MATCH(A232,O:O,0))</f>
        <v>#N/A</v>
      </c>
      <c r="J233" s="18" t="e">
        <f>INDEX(U:U,MATCH(A232,W:W,0))</f>
        <v>#N/A</v>
      </c>
      <c r="K233" s="19" t="s">
        <v>539</v>
      </c>
    </row>
    <row r="234" spans="1:11" x14ac:dyDescent="0.3">
      <c r="A234" t="s">
        <v>344</v>
      </c>
      <c r="B234" t="s">
        <v>132</v>
      </c>
      <c r="C234" t="s">
        <v>114</v>
      </c>
      <c r="D234" t="s">
        <v>47</v>
      </c>
      <c r="I234" s="17" t="e">
        <f>INDEX(N:N,MATCH(A234,O:O,0))/100</f>
        <v>#N/A</v>
      </c>
      <c r="J234" s="17" t="e">
        <f>INDEX(V:V,MATCH(A234,W:W,0))/100</f>
        <v>#N/A</v>
      </c>
      <c r="K234" s="18" t="s">
        <v>545</v>
      </c>
    </row>
    <row r="235" spans="1:11" x14ac:dyDescent="0.3">
      <c r="A235" t="s">
        <v>344</v>
      </c>
      <c r="B235" t="s">
        <v>132</v>
      </c>
      <c r="C235" t="s">
        <v>114</v>
      </c>
      <c r="D235" t="s">
        <v>47</v>
      </c>
      <c r="I235" s="18" t="e">
        <f>INDEX(M:M,MATCH(A234,O:O,0))</f>
        <v>#N/A</v>
      </c>
      <c r="J235" s="18" t="e">
        <f>INDEX(U:U,MATCH(A234,W:W,0))</f>
        <v>#N/A</v>
      </c>
      <c r="K235" s="19" t="s">
        <v>539</v>
      </c>
    </row>
    <row r="236" spans="1:11" x14ac:dyDescent="0.3">
      <c r="A236" t="s">
        <v>345</v>
      </c>
      <c r="B236" t="s">
        <v>132</v>
      </c>
      <c r="C236" t="s">
        <v>124</v>
      </c>
      <c r="D236" t="s">
        <v>47</v>
      </c>
      <c r="I236" s="17" t="e">
        <f>INDEX(N:N,MATCH(A236,O:O,0))/100</f>
        <v>#N/A</v>
      </c>
      <c r="J236" s="17" t="e">
        <f>INDEX(V:V,MATCH(A236,W:W,0))/100</f>
        <v>#N/A</v>
      </c>
      <c r="K236" s="18" t="s">
        <v>545</v>
      </c>
    </row>
    <row r="237" spans="1:11" x14ac:dyDescent="0.3">
      <c r="A237" t="s">
        <v>345</v>
      </c>
      <c r="B237" t="s">
        <v>132</v>
      </c>
      <c r="C237" t="s">
        <v>124</v>
      </c>
      <c r="D237" t="s">
        <v>47</v>
      </c>
      <c r="I237" s="18" t="e">
        <f>INDEX(M:M,MATCH(A236,O:O,0))</f>
        <v>#N/A</v>
      </c>
      <c r="J237" s="18" t="e">
        <f>INDEX(U:U,MATCH(A236,W:W,0))</f>
        <v>#N/A</v>
      </c>
      <c r="K237" s="19" t="s">
        <v>539</v>
      </c>
    </row>
    <row r="238" spans="1:11" x14ac:dyDescent="0.3">
      <c r="A238" t="s">
        <v>346</v>
      </c>
      <c r="B238" t="s">
        <v>132</v>
      </c>
      <c r="C238" t="s">
        <v>114</v>
      </c>
      <c r="D238" t="s">
        <v>35</v>
      </c>
      <c r="I238" s="17" t="e">
        <f>INDEX(N:N,MATCH(A238,O:O,0))/100</f>
        <v>#N/A</v>
      </c>
      <c r="J238" s="17" t="e">
        <f>INDEX(V:V,MATCH(A238,W:W,0))/100</f>
        <v>#N/A</v>
      </c>
      <c r="K238" s="18" t="s">
        <v>545</v>
      </c>
    </row>
    <row r="239" spans="1:11" x14ac:dyDescent="0.3">
      <c r="A239" t="s">
        <v>346</v>
      </c>
      <c r="B239" t="s">
        <v>132</v>
      </c>
      <c r="C239" t="s">
        <v>114</v>
      </c>
      <c r="D239" t="s">
        <v>35</v>
      </c>
      <c r="I239" s="18" t="e">
        <f>INDEX(M:M,MATCH(A238,O:O,0))</f>
        <v>#N/A</v>
      </c>
      <c r="J239" s="18" t="e">
        <f>INDEX(U:U,MATCH(A238,W:W,0))</f>
        <v>#N/A</v>
      </c>
      <c r="K239" s="19" t="s">
        <v>539</v>
      </c>
    </row>
    <row r="240" spans="1:11" x14ac:dyDescent="0.3">
      <c r="A240" t="s">
        <v>347</v>
      </c>
      <c r="B240" t="s">
        <v>132</v>
      </c>
      <c r="C240" t="s">
        <v>124</v>
      </c>
      <c r="D240" t="s">
        <v>35</v>
      </c>
      <c r="I240" s="17" t="e">
        <f>INDEX(N:N,MATCH(A240,O:O,0))/100</f>
        <v>#N/A</v>
      </c>
      <c r="J240" s="17" t="e">
        <f>INDEX(V:V,MATCH(A240,W:W,0))/100</f>
        <v>#N/A</v>
      </c>
      <c r="K240" s="18" t="s">
        <v>545</v>
      </c>
    </row>
    <row r="241" spans="1:11" x14ac:dyDescent="0.3">
      <c r="A241" t="s">
        <v>347</v>
      </c>
      <c r="B241" t="s">
        <v>132</v>
      </c>
      <c r="C241" t="s">
        <v>124</v>
      </c>
      <c r="D241" t="s">
        <v>35</v>
      </c>
      <c r="I241" s="18" t="e">
        <f>INDEX(M:M,MATCH(A240,O:O,0))</f>
        <v>#N/A</v>
      </c>
      <c r="J241" s="18" t="e">
        <f>INDEX(U:U,MATCH(A240,W:W,0))</f>
        <v>#N/A</v>
      </c>
      <c r="K241" s="19" t="s">
        <v>539</v>
      </c>
    </row>
    <row r="242" spans="1:11" x14ac:dyDescent="0.3">
      <c r="A242" t="s">
        <v>348</v>
      </c>
      <c r="B242" t="s">
        <v>132</v>
      </c>
      <c r="C242" t="s">
        <v>114</v>
      </c>
      <c r="D242" t="s">
        <v>547</v>
      </c>
      <c r="I242" s="17" t="e">
        <f>INDEX(N:N,MATCH(A242,O:O,0))/100</f>
        <v>#N/A</v>
      </c>
      <c r="J242" s="17" t="e">
        <f>INDEX(V:V,MATCH(A242,W:W,0))/100</f>
        <v>#N/A</v>
      </c>
      <c r="K242" s="18" t="s">
        <v>545</v>
      </c>
    </row>
    <row r="243" spans="1:11" x14ac:dyDescent="0.3">
      <c r="A243" t="s">
        <v>348</v>
      </c>
      <c r="B243" t="s">
        <v>132</v>
      </c>
      <c r="C243" t="s">
        <v>114</v>
      </c>
      <c r="D243" t="s">
        <v>547</v>
      </c>
      <c r="I243" s="18" t="e">
        <f>INDEX(M:M,MATCH(A242,O:O,0))</f>
        <v>#N/A</v>
      </c>
      <c r="J243" s="18" t="e">
        <f>INDEX(U:U,MATCH(A242,W:W,0))</f>
        <v>#N/A</v>
      </c>
      <c r="K243" s="19" t="s">
        <v>539</v>
      </c>
    </row>
    <row r="244" spans="1:11" x14ac:dyDescent="0.3">
      <c r="A244" t="s">
        <v>349</v>
      </c>
      <c r="B244" t="s">
        <v>132</v>
      </c>
      <c r="C244" t="s">
        <v>124</v>
      </c>
      <c r="D244" t="s">
        <v>547</v>
      </c>
      <c r="I244" s="17" t="e">
        <f>INDEX(N:N,MATCH(A244,O:O,0))/100</f>
        <v>#N/A</v>
      </c>
      <c r="J244" s="17" t="e">
        <f>INDEX(V:V,MATCH(A244,W:W,0))/100</f>
        <v>#N/A</v>
      </c>
      <c r="K244" s="18" t="s">
        <v>545</v>
      </c>
    </row>
    <row r="245" spans="1:11" x14ac:dyDescent="0.3">
      <c r="A245" t="s">
        <v>349</v>
      </c>
      <c r="B245" t="s">
        <v>132</v>
      </c>
      <c r="C245" t="s">
        <v>124</v>
      </c>
      <c r="D245" t="s">
        <v>547</v>
      </c>
      <c r="I245" s="18" t="e">
        <f>INDEX(M:M,MATCH(A244,O:O,0))</f>
        <v>#N/A</v>
      </c>
      <c r="J245" s="18" t="e">
        <f>INDEX(U:U,MATCH(A244,W:W,0))</f>
        <v>#N/A</v>
      </c>
      <c r="K245" s="19" t="s">
        <v>539</v>
      </c>
    </row>
    <row r="246" spans="1:11" x14ac:dyDescent="0.3">
      <c r="A246" t="s">
        <v>350</v>
      </c>
      <c r="B246" t="s">
        <v>132</v>
      </c>
      <c r="C246" t="s">
        <v>114</v>
      </c>
      <c r="D246" t="s">
        <v>548</v>
      </c>
      <c r="I246" s="17" t="e">
        <f>INDEX(N:N,MATCH(A246,O:O,0))/100</f>
        <v>#N/A</v>
      </c>
      <c r="J246" s="17" t="e">
        <f>INDEX(V:V,MATCH(A246,W:W,0))/100</f>
        <v>#N/A</v>
      </c>
      <c r="K246" s="18" t="s">
        <v>545</v>
      </c>
    </row>
    <row r="247" spans="1:11" x14ac:dyDescent="0.3">
      <c r="A247" t="s">
        <v>350</v>
      </c>
      <c r="B247" t="s">
        <v>132</v>
      </c>
      <c r="C247" t="s">
        <v>114</v>
      </c>
      <c r="D247" t="s">
        <v>548</v>
      </c>
      <c r="I247" s="18" t="e">
        <f>INDEX(M:M,MATCH(A246,O:O,0))</f>
        <v>#N/A</v>
      </c>
      <c r="J247" s="18" t="e">
        <f>INDEX(U:U,MATCH(A246,W:W,0))</f>
        <v>#N/A</v>
      </c>
      <c r="K247" s="19" t="s">
        <v>539</v>
      </c>
    </row>
    <row r="248" spans="1:11" x14ac:dyDescent="0.3">
      <c r="A248" t="s">
        <v>351</v>
      </c>
      <c r="B248" t="s">
        <v>132</v>
      </c>
      <c r="C248" t="s">
        <v>124</v>
      </c>
      <c r="D248" t="s">
        <v>548</v>
      </c>
      <c r="I248" s="17" t="e">
        <f>INDEX(N:N,MATCH(A248,O:O,0))/100</f>
        <v>#N/A</v>
      </c>
      <c r="J248" s="17" t="e">
        <f>INDEX(V:V,MATCH(A248,W:W,0))/100</f>
        <v>#N/A</v>
      </c>
      <c r="K248" s="18" t="s">
        <v>545</v>
      </c>
    </row>
    <row r="249" spans="1:11" x14ac:dyDescent="0.3">
      <c r="A249" t="s">
        <v>351</v>
      </c>
      <c r="B249" t="s">
        <v>132</v>
      </c>
      <c r="C249" t="s">
        <v>124</v>
      </c>
      <c r="D249" t="s">
        <v>548</v>
      </c>
      <c r="I249" s="18" t="e">
        <f>INDEX(M:M,MATCH(A248,O:O,0))</f>
        <v>#N/A</v>
      </c>
      <c r="J249" s="18" t="e">
        <f>INDEX(U:U,MATCH(A248,W:W,0))</f>
        <v>#N/A</v>
      </c>
      <c r="K249" s="19" t="s">
        <v>539</v>
      </c>
    </row>
    <row r="250" spans="1:11" x14ac:dyDescent="0.3">
      <c r="A250" t="s">
        <v>352</v>
      </c>
      <c r="B250" t="s">
        <v>549</v>
      </c>
      <c r="C250" t="s">
        <v>114</v>
      </c>
      <c r="D250" t="s">
        <v>48</v>
      </c>
      <c r="E250" t="s">
        <v>134</v>
      </c>
      <c r="I250" s="17" t="e">
        <f>INDEX(N:N,MATCH(A250,O:O,0))/100</f>
        <v>#N/A</v>
      </c>
      <c r="J250" s="17" t="e">
        <f>INDEX(V:V,MATCH(A250,W:W,0))/100</f>
        <v>#N/A</v>
      </c>
      <c r="K250" s="18" t="s">
        <v>545</v>
      </c>
    </row>
    <row r="251" spans="1:11" x14ac:dyDescent="0.3">
      <c r="A251" t="s">
        <v>352</v>
      </c>
      <c r="B251" t="s">
        <v>549</v>
      </c>
      <c r="C251" t="s">
        <v>114</v>
      </c>
      <c r="D251" t="s">
        <v>48</v>
      </c>
      <c r="E251" t="s">
        <v>134</v>
      </c>
      <c r="I251" s="18" t="e">
        <f>INDEX(M:M,MATCH(A250,O:O,0))</f>
        <v>#N/A</v>
      </c>
      <c r="J251" s="18" t="e">
        <f>INDEX(U:U,MATCH(A250,W:W,0))</f>
        <v>#N/A</v>
      </c>
      <c r="K251" s="19" t="s">
        <v>539</v>
      </c>
    </row>
    <row r="252" spans="1:11" x14ac:dyDescent="0.3">
      <c r="A252" t="s">
        <v>353</v>
      </c>
      <c r="B252" t="s">
        <v>549</v>
      </c>
      <c r="C252" t="s">
        <v>114</v>
      </c>
      <c r="D252" t="s">
        <v>48</v>
      </c>
      <c r="F252" t="s">
        <v>121</v>
      </c>
      <c r="I252" s="17" t="e">
        <f>INDEX(N:N,MATCH(A252,O:O,0))/100</f>
        <v>#N/A</v>
      </c>
      <c r="J252" s="17" t="e">
        <f>INDEX(V:V,MATCH(A252,W:W,0))/100</f>
        <v>#N/A</v>
      </c>
      <c r="K252" s="18" t="s">
        <v>545</v>
      </c>
    </row>
    <row r="253" spans="1:11" x14ac:dyDescent="0.3">
      <c r="A253" t="s">
        <v>353</v>
      </c>
      <c r="B253" t="s">
        <v>549</v>
      </c>
      <c r="C253" t="s">
        <v>114</v>
      </c>
      <c r="D253" t="s">
        <v>48</v>
      </c>
      <c r="F253" t="s">
        <v>121</v>
      </c>
      <c r="I253" s="18" t="e">
        <f>INDEX(M:M,MATCH(A252,O:O,0))</f>
        <v>#N/A</v>
      </c>
      <c r="J253" s="18" t="e">
        <f>INDEX(U:U,MATCH(A252,W:W,0))</f>
        <v>#N/A</v>
      </c>
      <c r="K253" s="19" t="s">
        <v>539</v>
      </c>
    </row>
    <row r="254" spans="1:11" x14ac:dyDescent="0.3">
      <c r="A254" t="s">
        <v>354</v>
      </c>
      <c r="B254" t="s">
        <v>549</v>
      </c>
      <c r="C254" t="s">
        <v>114</v>
      </c>
      <c r="D254" t="s">
        <v>48</v>
      </c>
      <c r="F254" t="s">
        <v>123</v>
      </c>
      <c r="I254" s="17" t="e">
        <f>INDEX(N:N,MATCH(A254,O:O,0))/100</f>
        <v>#N/A</v>
      </c>
      <c r="J254" s="17" t="e">
        <f>INDEX(V:V,MATCH(A254,W:W,0))/100</f>
        <v>#N/A</v>
      </c>
      <c r="K254" s="18" t="s">
        <v>545</v>
      </c>
    </row>
    <row r="255" spans="1:11" x14ac:dyDescent="0.3">
      <c r="A255" t="s">
        <v>354</v>
      </c>
      <c r="B255" t="s">
        <v>549</v>
      </c>
      <c r="C255" t="s">
        <v>114</v>
      </c>
      <c r="D255" t="s">
        <v>48</v>
      </c>
      <c r="F255" t="s">
        <v>123</v>
      </c>
      <c r="I255" s="18" t="e">
        <f>INDEX(M:M,MATCH(A254,O:O,0))</f>
        <v>#N/A</v>
      </c>
      <c r="J255" s="18" t="e">
        <f>INDEX(U:U,MATCH(A254,W:W,0))</f>
        <v>#N/A</v>
      </c>
      <c r="K255" s="19" t="s">
        <v>539</v>
      </c>
    </row>
    <row r="256" spans="1:11" x14ac:dyDescent="0.3">
      <c r="A256" t="s">
        <v>355</v>
      </c>
      <c r="B256" t="s">
        <v>549</v>
      </c>
      <c r="C256" t="s">
        <v>114</v>
      </c>
      <c r="D256" t="s">
        <v>48</v>
      </c>
      <c r="F256" t="s">
        <v>113</v>
      </c>
      <c r="I256" s="17" t="e">
        <f>INDEX(N:N,MATCH(A256,O:O,0))/100</f>
        <v>#N/A</v>
      </c>
      <c r="J256" s="17" t="e">
        <f>INDEX(V:V,MATCH(A256,W:W,0))/100</f>
        <v>#N/A</v>
      </c>
      <c r="K256" s="18" t="s">
        <v>545</v>
      </c>
    </row>
    <row r="257" spans="1:11" x14ac:dyDescent="0.3">
      <c r="A257" t="s">
        <v>355</v>
      </c>
      <c r="B257" t="s">
        <v>549</v>
      </c>
      <c r="C257" t="s">
        <v>114</v>
      </c>
      <c r="D257" t="s">
        <v>48</v>
      </c>
      <c r="F257" t="s">
        <v>113</v>
      </c>
      <c r="I257" s="18" t="e">
        <f>INDEX(M:M,MATCH(A256,O:O,0))</f>
        <v>#N/A</v>
      </c>
      <c r="J257" s="18" t="e">
        <f>INDEX(U:U,MATCH(A256,W:W,0))</f>
        <v>#N/A</v>
      </c>
      <c r="K257" s="19" t="s">
        <v>539</v>
      </c>
    </row>
    <row r="258" spans="1:11" x14ac:dyDescent="0.3">
      <c r="A258" t="s">
        <v>356</v>
      </c>
      <c r="B258" t="s">
        <v>549</v>
      </c>
      <c r="C258" t="s">
        <v>114</v>
      </c>
      <c r="D258" t="s">
        <v>48</v>
      </c>
      <c r="F258" t="s">
        <v>118</v>
      </c>
      <c r="I258" s="17" t="e">
        <f>INDEX(N:N,MATCH(A258,O:O,0))/100</f>
        <v>#N/A</v>
      </c>
      <c r="J258" s="17" t="e">
        <f>INDEX(V:V,MATCH(A258,W:W,0))/100</f>
        <v>#N/A</v>
      </c>
      <c r="K258" s="18" t="s">
        <v>545</v>
      </c>
    </row>
    <row r="259" spans="1:11" x14ac:dyDescent="0.3">
      <c r="A259" t="s">
        <v>356</v>
      </c>
      <c r="B259" t="s">
        <v>549</v>
      </c>
      <c r="C259" t="s">
        <v>114</v>
      </c>
      <c r="D259" t="s">
        <v>48</v>
      </c>
      <c r="F259" t="s">
        <v>118</v>
      </c>
      <c r="I259" s="18" t="e">
        <f>INDEX(M:M,MATCH(A258,O:O,0))</f>
        <v>#N/A</v>
      </c>
      <c r="J259" s="18" t="e">
        <f>INDEX(U:U,MATCH(A258,W:W,0))</f>
        <v>#N/A</v>
      </c>
      <c r="K259" s="19" t="s">
        <v>539</v>
      </c>
    </row>
    <row r="260" spans="1:11" x14ac:dyDescent="0.3">
      <c r="A260" t="s">
        <v>357</v>
      </c>
      <c r="B260" t="s">
        <v>549</v>
      </c>
      <c r="C260" t="s">
        <v>114</v>
      </c>
      <c r="D260" t="s">
        <v>48</v>
      </c>
      <c r="F260" t="s">
        <v>127</v>
      </c>
      <c r="I260" s="17" t="e">
        <f>INDEX(N:N,MATCH(A260,O:O,0))/100</f>
        <v>#N/A</v>
      </c>
      <c r="J260" s="17" t="e">
        <f>INDEX(V:V,MATCH(A260,W:W,0))/100</f>
        <v>#N/A</v>
      </c>
      <c r="K260" s="18" t="s">
        <v>545</v>
      </c>
    </row>
    <row r="261" spans="1:11" x14ac:dyDescent="0.3">
      <c r="A261" t="s">
        <v>357</v>
      </c>
      <c r="B261" t="s">
        <v>549</v>
      </c>
      <c r="C261" t="s">
        <v>114</v>
      </c>
      <c r="D261" t="s">
        <v>48</v>
      </c>
      <c r="F261" t="s">
        <v>127</v>
      </c>
      <c r="I261" s="18" t="e">
        <f>INDEX(M:M,MATCH(A260,O:O,0))</f>
        <v>#N/A</v>
      </c>
      <c r="J261" s="18" t="e">
        <f>INDEX(U:U,MATCH(A260,W:W,0))</f>
        <v>#N/A</v>
      </c>
      <c r="K261" s="19" t="s">
        <v>539</v>
      </c>
    </row>
    <row r="262" spans="1:11" x14ac:dyDescent="0.3">
      <c r="A262" t="s">
        <v>358</v>
      </c>
      <c r="B262" t="s">
        <v>549</v>
      </c>
      <c r="C262" t="s">
        <v>114</v>
      </c>
      <c r="D262" t="s">
        <v>48</v>
      </c>
      <c r="F262" t="s">
        <v>550</v>
      </c>
      <c r="I262" s="17" t="e">
        <f>INDEX(N:N,MATCH(A262,O:O,0))/100</f>
        <v>#N/A</v>
      </c>
      <c r="J262" s="17" t="e">
        <f>INDEX(V:V,MATCH(A262,W:W,0))/100</f>
        <v>#N/A</v>
      </c>
      <c r="K262" s="18" t="s">
        <v>545</v>
      </c>
    </row>
    <row r="263" spans="1:11" x14ac:dyDescent="0.3">
      <c r="A263" t="s">
        <v>358</v>
      </c>
      <c r="B263" t="s">
        <v>549</v>
      </c>
      <c r="C263" t="s">
        <v>114</v>
      </c>
      <c r="D263" t="s">
        <v>48</v>
      </c>
      <c r="F263" t="s">
        <v>550</v>
      </c>
      <c r="I263" s="18" t="e">
        <f>INDEX(M:M,MATCH(A262,O:O,0))</f>
        <v>#N/A</v>
      </c>
      <c r="J263" s="18" t="e">
        <f>INDEX(U:U,MATCH(A262,W:W,0))</f>
        <v>#N/A</v>
      </c>
      <c r="K263" s="19" t="s">
        <v>539</v>
      </c>
    </row>
    <row r="264" spans="1:11" x14ac:dyDescent="0.3">
      <c r="A264" t="s">
        <v>359</v>
      </c>
      <c r="B264" t="s">
        <v>549</v>
      </c>
      <c r="C264" t="s">
        <v>114</v>
      </c>
      <c r="D264" t="s">
        <v>48</v>
      </c>
      <c r="F264" t="s">
        <v>551</v>
      </c>
      <c r="H264" t="s">
        <v>552</v>
      </c>
      <c r="I264" s="17" t="e">
        <f>INDEX(N:N,MATCH(A264,O:O,0))/100</f>
        <v>#N/A</v>
      </c>
      <c r="J264" s="17" t="e">
        <f>INDEX(V:V,MATCH(A264,W:W,0))/100</f>
        <v>#N/A</v>
      </c>
      <c r="K264" s="18" t="s">
        <v>545</v>
      </c>
    </row>
    <row r="265" spans="1:11" x14ac:dyDescent="0.3">
      <c r="A265" t="s">
        <v>359</v>
      </c>
      <c r="B265" t="s">
        <v>549</v>
      </c>
      <c r="C265" t="s">
        <v>114</v>
      </c>
      <c r="D265" t="s">
        <v>48</v>
      </c>
      <c r="F265" t="s">
        <v>551</v>
      </c>
      <c r="H265" t="s">
        <v>552</v>
      </c>
      <c r="I265" s="18" t="e">
        <f>INDEX(M:M,MATCH(A264,O:O,0))</f>
        <v>#N/A</v>
      </c>
      <c r="J265" s="18" t="e">
        <f>INDEX(U:U,MATCH(A264,W:W,0))</f>
        <v>#N/A</v>
      </c>
      <c r="K265" s="19" t="s">
        <v>539</v>
      </c>
    </row>
    <row r="266" spans="1:11" x14ac:dyDescent="0.3">
      <c r="A266" t="s">
        <v>360</v>
      </c>
      <c r="B266" t="s">
        <v>549</v>
      </c>
      <c r="C266" t="s">
        <v>114</v>
      </c>
      <c r="D266" t="s">
        <v>48</v>
      </c>
      <c r="F266" t="s">
        <v>551</v>
      </c>
      <c r="H266" t="s">
        <v>553</v>
      </c>
      <c r="I266" s="17" t="e">
        <f>INDEX(N:N,MATCH(A266,O:O,0))/100</f>
        <v>#N/A</v>
      </c>
      <c r="J266" s="17" t="e">
        <f>INDEX(V:V,MATCH(A266,W:W,0))/100</f>
        <v>#N/A</v>
      </c>
      <c r="K266" s="18" t="s">
        <v>545</v>
      </c>
    </row>
    <row r="267" spans="1:11" x14ac:dyDescent="0.3">
      <c r="A267" t="s">
        <v>360</v>
      </c>
      <c r="B267" t="s">
        <v>549</v>
      </c>
      <c r="C267" t="s">
        <v>114</v>
      </c>
      <c r="D267" t="s">
        <v>48</v>
      </c>
      <c r="F267" t="s">
        <v>551</v>
      </c>
      <c r="H267" t="s">
        <v>553</v>
      </c>
      <c r="I267" s="18" t="e">
        <f>INDEX(M:M,MATCH(A266,O:O,0))</f>
        <v>#N/A</v>
      </c>
      <c r="J267" s="18" t="e">
        <f>INDEX(U:U,MATCH(A266,W:W,0))</f>
        <v>#N/A</v>
      </c>
      <c r="K267" s="19" t="s">
        <v>539</v>
      </c>
    </row>
    <row r="268" spans="1:11" x14ac:dyDescent="0.3">
      <c r="A268" t="s">
        <v>361</v>
      </c>
      <c r="B268" t="s">
        <v>549</v>
      </c>
      <c r="C268" t="s">
        <v>114</v>
      </c>
      <c r="D268" t="s">
        <v>48</v>
      </c>
      <c r="F268" t="s">
        <v>551</v>
      </c>
      <c r="H268" t="s">
        <v>554</v>
      </c>
      <c r="I268" s="17" t="e">
        <f>INDEX(N:N,MATCH(A268,O:O,0))/100</f>
        <v>#N/A</v>
      </c>
      <c r="J268" s="17" t="e">
        <f>INDEX(V:V,MATCH(A268,W:W,0))/100</f>
        <v>#N/A</v>
      </c>
      <c r="K268" s="18" t="s">
        <v>545</v>
      </c>
    </row>
    <row r="269" spans="1:11" x14ac:dyDescent="0.3">
      <c r="A269" t="s">
        <v>361</v>
      </c>
      <c r="B269" t="s">
        <v>549</v>
      </c>
      <c r="C269" t="s">
        <v>114</v>
      </c>
      <c r="D269" t="s">
        <v>48</v>
      </c>
      <c r="F269" t="s">
        <v>551</v>
      </c>
      <c r="H269" t="s">
        <v>554</v>
      </c>
      <c r="I269" s="18" t="e">
        <f>INDEX(M:M,MATCH(A268,O:O,0))</f>
        <v>#N/A</v>
      </c>
      <c r="J269" s="18" t="e">
        <f>INDEX(U:U,MATCH(A268,W:W,0))</f>
        <v>#N/A</v>
      </c>
      <c r="K269" s="19" t="s">
        <v>539</v>
      </c>
    </row>
    <row r="270" spans="1:11" x14ac:dyDescent="0.3">
      <c r="A270" t="s">
        <v>362</v>
      </c>
      <c r="B270" t="s">
        <v>549</v>
      </c>
      <c r="C270" t="s">
        <v>114</v>
      </c>
      <c r="D270" t="s">
        <v>48</v>
      </c>
      <c r="G270" t="s">
        <v>115</v>
      </c>
      <c r="I270" s="17" t="e">
        <f>INDEX(N:N,MATCH(A270,O:O,0))/100</f>
        <v>#N/A</v>
      </c>
      <c r="J270" s="17" t="e">
        <f>INDEX(V:V,MATCH(A270,W:W,0))/100</f>
        <v>#N/A</v>
      </c>
      <c r="K270" s="18" t="s">
        <v>545</v>
      </c>
    </row>
    <row r="271" spans="1:11" x14ac:dyDescent="0.3">
      <c r="A271" t="s">
        <v>362</v>
      </c>
      <c r="B271" t="s">
        <v>549</v>
      </c>
      <c r="C271" t="s">
        <v>114</v>
      </c>
      <c r="D271" t="s">
        <v>48</v>
      </c>
      <c r="G271" t="s">
        <v>115</v>
      </c>
      <c r="I271" s="18" t="e">
        <f>INDEX(M:M,MATCH(A270,O:O,0))</f>
        <v>#N/A</v>
      </c>
      <c r="J271" s="18" t="e">
        <f>INDEX(U:U,MATCH(A270,W:W,0))</f>
        <v>#N/A</v>
      </c>
      <c r="K271" s="19" t="s">
        <v>539</v>
      </c>
    </row>
    <row r="272" spans="1:11" x14ac:dyDescent="0.3">
      <c r="A272" t="s">
        <v>363</v>
      </c>
      <c r="B272" t="s">
        <v>549</v>
      </c>
      <c r="C272" t="s">
        <v>114</v>
      </c>
      <c r="D272" t="s">
        <v>48</v>
      </c>
      <c r="G272" t="s">
        <v>120</v>
      </c>
      <c r="I272" s="17" t="e">
        <f>INDEX(N:N,MATCH(A272,O:O,0))/100</f>
        <v>#N/A</v>
      </c>
      <c r="J272" s="17" t="e">
        <f>INDEX(V:V,MATCH(A272,W:W,0))/100</f>
        <v>#N/A</v>
      </c>
      <c r="K272" s="18" t="s">
        <v>545</v>
      </c>
    </row>
    <row r="273" spans="1:11" x14ac:dyDescent="0.3">
      <c r="A273" t="s">
        <v>363</v>
      </c>
      <c r="B273" t="s">
        <v>549</v>
      </c>
      <c r="C273" t="s">
        <v>114</v>
      </c>
      <c r="D273" t="s">
        <v>48</v>
      </c>
      <c r="G273" t="s">
        <v>120</v>
      </c>
      <c r="I273" s="18" t="e">
        <f>INDEX(M:M,MATCH(A272,O:O,0))</f>
        <v>#N/A</v>
      </c>
      <c r="J273" s="18" t="e">
        <f>INDEX(U:U,MATCH(A272,W:W,0))</f>
        <v>#N/A</v>
      </c>
      <c r="K273" s="19" t="s">
        <v>539</v>
      </c>
    </row>
    <row r="274" spans="1:11" x14ac:dyDescent="0.3">
      <c r="A274" t="s">
        <v>364</v>
      </c>
      <c r="B274" t="s">
        <v>549</v>
      </c>
      <c r="C274" t="s">
        <v>114</v>
      </c>
      <c r="D274" t="s">
        <v>48</v>
      </c>
      <c r="G274" t="s">
        <v>117</v>
      </c>
      <c r="I274" s="17" t="e">
        <f>INDEX(N:N,MATCH(A274,O:O,0))/100</f>
        <v>#N/A</v>
      </c>
      <c r="J274" s="17" t="e">
        <f>INDEX(V:V,MATCH(A274,W:W,0))/100</f>
        <v>#N/A</v>
      </c>
      <c r="K274" s="18" t="s">
        <v>545</v>
      </c>
    </row>
    <row r="275" spans="1:11" x14ac:dyDescent="0.3">
      <c r="A275" t="s">
        <v>364</v>
      </c>
      <c r="B275" t="s">
        <v>549</v>
      </c>
      <c r="C275" t="s">
        <v>114</v>
      </c>
      <c r="D275" t="s">
        <v>48</v>
      </c>
      <c r="G275" t="s">
        <v>117</v>
      </c>
      <c r="I275" s="18" t="e">
        <f>INDEX(M:M,MATCH(A274,O:O,0))</f>
        <v>#N/A</v>
      </c>
      <c r="J275" s="18" t="e">
        <f>INDEX(U:U,MATCH(A274,W:W,0))</f>
        <v>#N/A</v>
      </c>
      <c r="K275" s="19" t="s">
        <v>539</v>
      </c>
    </row>
    <row r="276" spans="1:11" x14ac:dyDescent="0.3">
      <c r="A276" t="s">
        <v>365</v>
      </c>
      <c r="B276" t="s">
        <v>549</v>
      </c>
      <c r="C276" t="s">
        <v>114</v>
      </c>
      <c r="D276" t="s">
        <v>49</v>
      </c>
      <c r="E276" t="s">
        <v>555</v>
      </c>
      <c r="I276" s="17" t="e">
        <f>INDEX(N:N,MATCH(A276,O:O,0))/100</f>
        <v>#N/A</v>
      </c>
      <c r="J276" s="17" t="e">
        <f>INDEX(V:V,MATCH(A276,W:W,0))/100</f>
        <v>#N/A</v>
      </c>
      <c r="K276" s="18" t="s">
        <v>545</v>
      </c>
    </row>
    <row r="277" spans="1:11" x14ac:dyDescent="0.3">
      <c r="A277" t="s">
        <v>365</v>
      </c>
      <c r="B277" t="s">
        <v>549</v>
      </c>
      <c r="C277" t="s">
        <v>114</v>
      </c>
      <c r="D277" t="s">
        <v>49</v>
      </c>
      <c r="E277" t="s">
        <v>555</v>
      </c>
      <c r="I277" s="18" t="e">
        <f>INDEX(M:M,MATCH(A276,O:O,0))</f>
        <v>#N/A</v>
      </c>
      <c r="J277" s="18" t="e">
        <f>INDEX(U:U,MATCH(A276,W:W,0))</f>
        <v>#N/A</v>
      </c>
      <c r="K277" s="19" t="s">
        <v>539</v>
      </c>
    </row>
    <row r="278" spans="1:11" x14ac:dyDescent="0.3">
      <c r="A278" t="s">
        <v>366</v>
      </c>
      <c r="B278" t="s">
        <v>549</v>
      </c>
      <c r="C278" t="s">
        <v>114</v>
      </c>
      <c r="D278" t="s">
        <v>49</v>
      </c>
      <c r="F278" t="s">
        <v>121</v>
      </c>
      <c r="I278" s="17" t="e">
        <f>INDEX(N:N,MATCH(A278,O:O,0))/100</f>
        <v>#N/A</v>
      </c>
      <c r="J278" s="17" t="e">
        <f>INDEX(V:V,MATCH(A278,W:W,0))/100</f>
        <v>#N/A</v>
      </c>
      <c r="K278" s="18" t="s">
        <v>545</v>
      </c>
    </row>
    <row r="279" spans="1:11" x14ac:dyDescent="0.3">
      <c r="A279" t="s">
        <v>366</v>
      </c>
      <c r="B279" t="s">
        <v>549</v>
      </c>
      <c r="C279" t="s">
        <v>114</v>
      </c>
      <c r="D279" t="s">
        <v>49</v>
      </c>
      <c r="F279" t="s">
        <v>121</v>
      </c>
      <c r="I279" s="18" t="e">
        <f>INDEX(M:M,MATCH(A278,O:O,0))</f>
        <v>#N/A</v>
      </c>
      <c r="J279" s="18" t="e">
        <f>INDEX(U:U,MATCH(A278,W:W,0))</f>
        <v>#N/A</v>
      </c>
      <c r="K279" s="19" t="s">
        <v>539</v>
      </c>
    </row>
    <row r="280" spans="1:11" x14ac:dyDescent="0.3">
      <c r="A280" t="s">
        <v>367</v>
      </c>
      <c r="B280" t="s">
        <v>549</v>
      </c>
      <c r="C280" t="s">
        <v>114</v>
      </c>
      <c r="D280" t="s">
        <v>49</v>
      </c>
      <c r="F280" t="s">
        <v>123</v>
      </c>
      <c r="I280" s="17" t="e">
        <f>INDEX(N:N,MATCH(A280,O:O,0))/100</f>
        <v>#N/A</v>
      </c>
      <c r="J280" s="17" t="e">
        <f>INDEX(V:V,MATCH(A280,W:W,0))/100</f>
        <v>#N/A</v>
      </c>
      <c r="K280" s="18" t="s">
        <v>545</v>
      </c>
    </row>
    <row r="281" spans="1:11" x14ac:dyDescent="0.3">
      <c r="A281" t="s">
        <v>367</v>
      </c>
      <c r="B281" t="s">
        <v>549</v>
      </c>
      <c r="C281" t="s">
        <v>114</v>
      </c>
      <c r="D281" t="s">
        <v>49</v>
      </c>
      <c r="F281" t="s">
        <v>123</v>
      </c>
      <c r="I281" s="18" t="e">
        <f>INDEX(M:M,MATCH(A280,O:O,0))</f>
        <v>#N/A</v>
      </c>
      <c r="J281" s="18" t="e">
        <f>INDEX(U:U,MATCH(A280,W:W,0))</f>
        <v>#N/A</v>
      </c>
      <c r="K281" s="19" t="s">
        <v>539</v>
      </c>
    </row>
    <row r="282" spans="1:11" x14ac:dyDescent="0.3">
      <c r="A282" t="s">
        <v>368</v>
      </c>
      <c r="B282" t="s">
        <v>549</v>
      </c>
      <c r="C282" t="s">
        <v>114</v>
      </c>
      <c r="D282" t="s">
        <v>49</v>
      </c>
      <c r="F282" t="s">
        <v>113</v>
      </c>
      <c r="I282" s="17" t="e">
        <f>INDEX(N:N,MATCH(A282,O:O,0))/100</f>
        <v>#N/A</v>
      </c>
      <c r="J282" s="17" t="e">
        <f>INDEX(V:V,MATCH(A282,W:W,0))/100</f>
        <v>#N/A</v>
      </c>
      <c r="K282" s="18" t="s">
        <v>545</v>
      </c>
    </row>
    <row r="283" spans="1:11" x14ac:dyDescent="0.3">
      <c r="A283" t="s">
        <v>368</v>
      </c>
      <c r="B283" t="s">
        <v>549</v>
      </c>
      <c r="C283" t="s">
        <v>114</v>
      </c>
      <c r="D283" t="s">
        <v>49</v>
      </c>
      <c r="F283" t="s">
        <v>113</v>
      </c>
      <c r="I283" s="18" t="e">
        <f>INDEX(M:M,MATCH(A282,O:O,0))</f>
        <v>#N/A</v>
      </c>
      <c r="J283" s="18" t="e">
        <f>INDEX(U:U,MATCH(A282,W:W,0))</f>
        <v>#N/A</v>
      </c>
      <c r="K283" s="19" t="s">
        <v>539</v>
      </c>
    </row>
    <row r="284" spans="1:11" x14ac:dyDescent="0.3">
      <c r="A284" t="s">
        <v>369</v>
      </c>
      <c r="B284" t="s">
        <v>549</v>
      </c>
      <c r="C284" t="s">
        <v>114</v>
      </c>
      <c r="D284" t="s">
        <v>49</v>
      </c>
      <c r="F284" t="s">
        <v>118</v>
      </c>
      <c r="I284" s="17" t="e">
        <f>INDEX(N:N,MATCH(A284,O:O,0))/100</f>
        <v>#N/A</v>
      </c>
      <c r="J284" s="17" t="e">
        <f>INDEX(V:V,MATCH(A284,W:W,0))/100</f>
        <v>#N/A</v>
      </c>
      <c r="K284" s="18" t="s">
        <v>545</v>
      </c>
    </row>
    <row r="285" spans="1:11" x14ac:dyDescent="0.3">
      <c r="A285" t="s">
        <v>369</v>
      </c>
      <c r="B285" t="s">
        <v>549</v>
      </c>
      <c r="C285" t="s">
        <v>114</v>
      </c>
      <c r="D285" t="s">
        <v>49</v>
      </c>
      <c r="F285" t="s">
        <v>118</v>
      </c>
      <c r="I285" s="18" t="e">
        <f>INDEX(M:M,MATCH(A284,O:O,0))</f>
        <v>#N/A</v>
      </c>
      <c r="J285" s="18" t="e">
        <f>INDEX(U:U,MATCH(A284,W:W,0))</f>
        <v>#N/A</v>
      </c>
      <c r="K285" s="19" t="s">
        <v>539</v>
      </c>
    </row>
    <row r="286" spans="1:11" x14ac:dyDescent="0.3">
      <c r="A286" t="s">
        <v>370</v>
      </c>
      <c r="B286" t="s">
        <v>549</v>
      </c>
      <c r="C286" t="s">
        <v>114</v>
      </c>
      <c r="D286" t="s">
        <v>49</v>
      </c>
      <c r="F286" t="s">
        <v>127</v>
      </c>
      <c r="I286" s="17" t="e">
        <f>INDEX(N:N,MATCH(A286,O:O,0))/100</f>
        <v>#N/A</v>
      </c>
      <c r="J286" s="17" t="e">
        <f>INDEX(V:V,MATCH(A286,W:W,0))/100</f>
        <v>#N/A</v>
      </c>
      <c r="K286" s="18" t="s">
        <v>545</v>
      </c>
    </row>
    <row r="287" spans="1:11" x14ac:dyDescent="0.3">
      <c r="A287" t="s">
        <v>370</v>
      </c>
      <c r="B287" t="s">
        <v>549</v>
      </c>
      <c r="C287" t="s">
        <v>114</v>
      </c>
      <c r="D287" t="s">
        <v>49</v>
      </c>
      <c r="F287" t="s">
        <v>127</v>
      </c>
      <c r="I287" s="18" t="e">
        <f>INDEX(M:M,MATCH(A286,O:O,0))</f>
        <v>#N/A</v>
      </c>
      <c r="J287" s="18" t="e">
        <f>INDEX(U:U,MATCH(A286,W:W,0))</f>
        <v>#N/A</v>
      </c>
      <c r="K287" s="19" t="s">
        <v>539</v>
      </c>
    </row>
    <row r="288" spans="1:11" x14ac:dyDescent="0.3">
      <c r="A288" t="s">
        <v>371</v>
      </c>
      <c r="B288" t="s">
        <v>549</v>
      </c>
      <c r="C288" t="s">
        <v>114</v>
      </c>
      <c r="D288" t="s">
        <v>49</v>
      </c>
      <c r="F288" t="s">
        <v>550</v>
      </c>
      <c r="I288" s="17" t="e">
        <f>INDEX(N:N,MATCH(A288,O:O,0))/100</f>
        <v>#N/A</v>
      </c>
      <c r="J288" s="17" t="e">
        <f>INDEX(V:V,MATCH(A288,W:W,0))/100</f>
        <v>#N/A</v>
      </c>
      <c r="K288" s="18" t="s">
        <v>545</v>
      </c>
    </row>
    <row r="289" spans="1:11" x14ac:dyDescent="0.3">
      <c r="A289" t="s">
        <v>371</v>
      </c>
      <c r="B289" t="s">
        <v>549</v>
      </c>
      <c r="C289" t="s">
        <v>114</v>
      </c>
      <c r="D289" t="s">
        <v>49</v>
      </c>
      <c r="F289" t="s">
        <v>550</v>
      </c>
      <c r="I289" s="18" t="e">
        <f>INDEX(M:M,MATCH(A288,O:O,0))</f>
        <v>#N/A</v>
      </c>
      <c r="J289" s="18" t="e">
        <f>INDEX(U:U,MATCH(A288,W:W,0))</f>
        <v>#N/A</v>
      </c>
      <c r="K289" s="19" t="s">
        <v>539</v>
      </c>
    </row>
    <row r="290" spans="1:11" x14ac:dyDescent="0.3">
      <c r="A290" t="s">
        <v>372</v>
      </c>
      <c r="B290" t="s">
        <v>549</v>
      </c>
      <c r="C290" t="s">
        <v>114</v>
      </c>
      <c r="D290" t="s">
        <v>49</v>
      </c>
      <c r="F290" t="s">
        <v>551</v>
      </c>
      <c r="H290" t="s">
        <v>552</v>
      </c>
      <c r="I290" s="17" t="e">
        <f>INDEX(N:N,MATCH(A290,O:O,0))/100</f>
        <v>#N/A</v>
      </c>
      <c r="J290" s="17" t="e">
        <f>INDEX(V:V,MATCH(A290,W:W,0))/100</f>
        <v>#N/A</v>
      </c>
      <c r="K290" s="18" t="s">
        <v>545</v>
      </c>
    </row>
    <row r="291" spans="1:11" x14ac:dyDescent="0.3">
      <c r="A291" t="s">
        <v>372</v>
      </c>
      <c r="B291" t="s">
        <v>549</v>
      </c>
      <c r="C291" t="s">
        <v>114</v>
      </c>
      <c r="D291" t="s">
        <v>49</v>
      </c>
      <c r="F291" t="s">
        <v>551</v>
      </c>
      <c r="H291" t="s">
        <v>552</v>
      </c>
      <c r="I291" s="18" t="e">
        <f>INDEX(M:M,MATCH(A290,O:O,0))</f>
        <v>#N/A</v>
      </c>
      <c r="J291" s="18" t="e">
        <f>INDEX(U:U,MATCH(A290,W:W,0))</f>
        <v>#N/A</v>
      </c>
      <c r="K291" s="19" t="s">
        <v>539</v>
      </c>
    </row>
    <row r="292" spans="1:11" x14ac:dyDescent="0.3">
      <c r="A292" t="s">
        <v>373</v>
      </c>
      <c r="B292" t="s">
        <v>549</v>
      </c>
      <c r="C292" t="s">
        <v>114</v>
      </c>
      <c r="D292" t="s">
        <v>49</v>
      </c>
      <c r="F292" t="s">
        <v>551</v>
      </c>
      <c r="H292" t="s">
        <v>553</v>
      </c>
      <c r="I292" s="17" t="e">
        <f>INDEX(N:N,MATCH(A292,O:O,0))/100</f>
        <v>#N/A</v>
      </c>
      <c r="J292" s="17" t="e">
        <f>INDEX(V:V,MATCH(A292,W:W,0))/100</f>
        <v>#N/A</v>
      </c>
      <c r="K292" s="18" t="s">
        <v>545</v>
      </c>
    </row>
    <row r="293" spans="1:11" x14ac:dyDescent="0.3">
      <c r="A293" t="s">
        <v>373</v>
      </c>
      <c r="B293" t="s">
        <v>549</v>
      </c>
      <c r="C293" t="s">
        <v>114</v>
      </c>
      <c r="D293" t="s">
        <v>49</v>
      </c>
      <c r="F293" t="s">
        <v>551</v>
      </c>
      <c r="H293" t="s">
        <v>553</v>
      </c>
      <c r="I293" s="18" t="e">
        <f>INDEX(M:M,MATCH(A292,O:O,0))</f>
        <v>#N/A</v>
      </c>
      <c r="J293" s="18" t="e">
        <f>INDEX(U:U,MATCH(A292,W:W,0))</f>
        <v>#N/A</v>
      </c>
      <c r="K293" s="19" t="s">
        <v>539</v>
      </c>
    </row>
    <row r="294" spans="1:11" x14ac:dyDescent="0.3">
      <c r="A294" t="s">
        <v>374</v>
      </c>
      <c r="B294" t="s">
        <v>549</v>
      </c>
      <c r="C294" t="s">
        <v>114</v>
      </c>
      <c r="D294" t="s">
        <v>49</v>
      </c>
      <c r="F294" t="s">
        <v>551</v>
      </c>
      <c r="H294" t="s">
        <v>554</v>
      </c>
      <c r="I294" s="17" t="e">
        <f>INDEX(N:N,MATCH(A294,O:O,0))/100</f>
        <v>#N/A</v>
      </c>
      <c r="J294" s="17" t="e">
        <f>INDEX(V:V,MATCH(A294,W:W,0))/100</f>
        <v>#N/A</v>
      </c>
      <c r="K294" s="18" t="s">
        <v>545</v>
      </c>
    </row>
    <row r="295" spans="1:11" x14ac:dyDescent="0.3">
      <c r="A295" t="s">
        <v>374</v>
      </c>
      <c r="B295" t="s">
        <v>549</v>
      </c>
      <c r="C295" t="s">
        <v>114</v>
      </c>
      <c r="D295" t="s">
        <v>49</v>
      </c>
      <c r="F295" t="s">
        <v>551</v>
      </c>
      <c r="H295" t="s">
        <v>554</v>
      </c>
      <c r="I295" s="18" t="e">
        <f>INDEX(M:M,MATCH(A294,O:O,0))</f>
        <v>#N/A</v>
      </c>
      <c r="J295" s="18" t="e">
        <f>INDEX(U:U,MATCH(A294,W:W,0))</f>
        <v>#N/A</v>
      </c>
      <c r="K295" s="19" t="s">
        <v>539</v>
      </c>
    </row>
    <row r="296" spans="1:11" x14ac:dyDescent="0.3">
      <c r="A296" t="s">
        <v>375</v>
      </c>
      <c r="B296" t="s">
        <v>549</v>
      </c>
      <c r="C296" t="s">
        <v>114</v>
      </c>
      <c r="D296" t="s">
        <v>49</v>
      </c>
      <c r="G296" t="s">
        <v>115</v>
      </c>
      <c r="I296" s="17" t="e">
        <f>INDEX(N:N,MATCH(A296,O:O,0))/100</f>
        <v>#N/A</v>
      </c>
      <c r="J296" s="17" t="e">
        <f>INDEX(V:V,MATCH(A296,W:W,0))/100</f>
        <v>#N/A</v>
      </c>
      <c r="K296" s="18" t="s">
        <v>545</v>
      </c>
    </row>
    <row r="297" spans="1:11" x14ac:dyDescent="0.3">
      <c r="A297" t="s">
        <v>375</v>
      </c>
      <c r="B297" t="s">
        <v>549</v>
      </c>
      <c r="C297" t="s">
        <v>114</v>
      </c>
      <c r="D297" t="s">
        <v>49</v>
      </c>
      <c r="G297" t="s">
        <v>115</v>
      </c>
      <c r="I297" s="18" t="e">
        <f>INDEX(M:M,MATCH(A296,O:O,0))</f>
        <v>#N/A</v>
      </c>
      <c r="J297" s="18" t="e">
        <f>INDEX(U:U,MATCH(A296,W:W,0))</f>
        <v>#N/A</v>
      </c>
      <c r="K297" s="19" t="s">
        <v>539</v>
      </c>
    </row>
    <row r="298" spans="1:11" x14ac:dyDescent="0.3">
      <c r="A298" t="s">
        <v>376</v>
      </c>
      <c r="B298" t="s">
        <v>549</v>
      </c>
      <c r="C298" t="s">
        <v>114</v>
      </c>
      <c r="D298" t="s">
        <v>49</v>
      </c>
      <c r="G298" t="s">
        <v>120</v>
      </c>
      <c r="I298" s="17" t="e">
        <f>INDEX(N:N,MATCH(A298,O:O,0))/100</f>
        <v>#N/A</v>
      </c>
      <c r="J298" s="17" t="e">
        <f>INDEX(V:V,MATCH(A298,W:W,0))/100</f>
        <v>#N/A</v>
      </c>
      <c r="K298" s="18" t="s">
        <v>545</v>
      </c>
    </row>
    <row r="299" spans="1:11" x14ac:dyDescent="0.3">
      <c r="A299" t="s">
        <v>376</v>
      </c>
      <c r="B299" t="s">
        <v>549</v>
      </c>
      <c r="C299" t="s">
        <v>114</v>
      </c>
      <c r="D299" t="s">
        <v>49</v>
      </c>
      <c r="G299" t="s">
        <v>120</v>
      </c>
      <c r="I299" s="18" t="e">
        <f>INDEX(M:M,MATCH(A298,O:O,0))</f>
        <v>#N/A</v>
      </c>
      <c r="J299" s="18" t="e">
        <f>INDEX(U:U,MATCH(A298,W:W,0))</f>
        <v>#N/A</v>
      </c>
      <c r="K299" s="19" t="s">
        <v>539</v>
      </c>
    </row>
    <row r="300" spans="1:11" x14ac:dyDescent="0.3">
      <c r="A300" t="s">
        <v>377</v>
      </c>
      <c r="B300" t="s">
        <v>549</v>
      </c>
      <c r="C300" t="s">
        <v>114</v>
      </c>
      <c r="D300" t="s">
        <v>49</v>
      </c>
      <c r="G300" t="s">
        <v>117</v>
      </c>
      <c r="I300" s="17" t="e">
        <f>INDEX(N:N,MATCH(A300,O:O,0))/100</f>
        <v>#N/A</v>
      </c>
      <c r="J300" s="17" t="e">
        <f>INDEX(V:V,MATCH(A300,W:W,0))/100</f>
        <v>#N/A</v>
      </c>
      <c r="K300" s="18" t="s">
        <v>545</v>
      </c>
    </row>
    <row r="301" spans="1:11" x14ac:dyDescent="0.3">
      <c r="A301" t="s">
        <v>377</v>
      </c>
      <c r="B301" t="s">
        <v>549</v>
      </c>
      <c r="C301" t="s">
        <v>114</v>
      </c>
      <c r="D301" t="s">
        <v>49</v>
      </c>
      <c r="G301" t="s">
        <v>117</v>
      </c>
      <c r="I301" s="18" t="e">
        <f>INDEX(M:M,MATCH(A300,O:O,0))</f>
        <v>#N/A</v>
      </c>
      <c r="J301" s="18" t="e">
        <f>INDEX(U:U,MATCH(A300,W:W,0))</f>
        <v>#N/A</v>
      </c>
      <c r="K301" s="19" t="s">
        <v>539</v>
      </c>
    </row>
    <row r="302" spans="1:11" x14ac:dyDescent="0.3">
      <c r="A302" t="s">
        <v>378</v>
      </c>
      <c r="B302" t="s">
        <v>549</v>
      </c>
      <c r="C302" t="s">
        <v>114</v>
      </c>
      <c r="D302" t="s">
        <v>51</v>
      </c>
      <c r="E302" t="s">
        <v>555</v>
      </c>
      <c r="I302" s="17" t="e">
        <f>INDEX(N:N,MATCH(A302,O:O,0))/100</f>
        <v>#N/A</v>
      </c>
      <c r="J302" s="17" t="e">
        <f>INDEX(V:V,MATCH(A302,W:W,0))/100</f>
        <v>#N/A</v>
      </c>
      <c r="K302" s="18" t="s">
        <v>545</v>
      </c>
    </row>
    <row r="303" spans="1:11" x14ac:dyDescent="0.3">
      <c r="A303" t="s">
        <v>378</v>
      </c>
      <c r="B303" t="s">
        <v>549</v>
      </c>
      <c r="C303" t="s">
        <v>114</v>
      </c>
      <c r="D303" t="s">
        <v>51</v>
      </c>
      <c r="E303" t="s">
        <v>555</v>
      </c>
      <c r="I303" s="18" t="e">
        <f>INDEX(M:M,MATCH(A302,O:O,0))</f>
        <v>#N/A</v>
      </c>
      <c r="J303" s="18" t="e">
        <f>INDEX(U:U,MATCH(A302,W:W,0))</f>
        <v>#N/A</v>
      </c>
      <c r="K303" s="19" t="s">
        <v>539</v>
      </c>
    </row>
    <row r="304" spans="1:11" x14ac:dyDescent="0.3">
      <c r="A304" t="s">
        <v>379</v>
      </c>
      <c r="B304" t="s">
        <v>549</v>
      </c>
      <c r="C304" t="s">
        <v>114</v>
      </c>
      <c r="D304" t="s">
        <v>51</v>
      </c>
      <c r="F304" t="s">
        <v>121</v>
      </c>
      <c r="I304" s="17" t="e">
        <f>INDEX(N:N,MATCH(A304,O:O,0))/100</f>
        <v>#N/A</v>
      </c>
      <c r="J304" s="17" t="e">
        <f>INDEX(V:V,MATCH(A304,W:W,0))/100</f>
        <v>#N/A</v>
      </c>
      <c r="K304" s="18" t="s">
        <v>545</v>
      </c>
    </row>
    <row r="305" spans="1:11" x14ac:dyDescent="0.3">
      <c r="A305" t="s">
        <v>379</v>
      </c>
      <c r="B305" t="s">
        <v>549</v>
      </c>
      <c r="C305" t="s">
        <v>114</v>
      </c>
      <c r="D305" t="s">
        <v>51</v>
      </c>
      <c r="F305" t="s">
        <v>121</v>
      </c>
      <c r="I305" s="18" t="e">
        <f>INDEX(M:M,MATCH(A304,O:O,0))</f>
        <v>#N/A</v>
      </c>
      <c r="J305" s="18" t="e">
        <f>INDEX(U:U,MATCH(A304,W:W,0))</f>
        <v>#N/A</v>
      </c>
      <c r="K305" s="19" t="s">
        <v>539</v>
      </c>
    </row>
    <row r="306" spans="1:11" x14ac:dyDescent="0.3">
      <c r="A306" t="s">
        <v>380</v>
      </c>
      <c r="B306" t="s">
        <v>549</v>
      </c>
      <c r="C306" t="s">
        <v>114</v>
      </c>
      <c r="D306" t="s">
        <v>51</v>
      </c>
      <c r="F306" t="s">
        <v>123</v>
      </c>
      <c r="I306" s="17" t="e">
        <f>INDEX(N:N,MATCH(A306,O:O,0))/100</f>
        <v>#N/A</v>
      </c>
      <c r="J306" s="17" t="e">
        <f>INDEX(V:V,MATCH(A306,W:W,0))/100</f>
        <v>#N/A</v>
      </c>
      <c r="K306" s="18" t="s">
        <v>545</v>
      </c>
    </row>
    <row r="307" spans="1:11" x14ac:dyDescent="0.3">
      <c r="A307" t="s">
        <v>380</v>
      </c>
      <c r="B307" t="s">
        <v>549</v>
      </c>
      <c r="C307" t="s">
        <v>114</v>
      </c>
      <c r="D307" t="s">
        <v>51</v>
      </c>
      <c r="F307" t="s">
        <v>123</v>
      </c>
      <c r="I307" s="18" t="e">
        <f>INDEX(M:M,MATCH(A306,O:O,0))</f>
        <v>#N/A</v>
      </c>
      <c r="J307" s="18" t="e">
        <f>INDEX(U:U,MATCH(A306,W:W,0))</f>
        <v>#N/A</v>
      </c>
      <c r="K307" s="19" t="s">
        <v>539</v>
      </c>
    </row>
    <row r="308" spans="1:11" x14ac:dyDescent="0.3">
      <c r="A308" t="s">
        <v>381</v>
      </c>
      <c r="B308" t="s">
        <v>549</v>
      </c>
      <c r="C308" t="s">
        <v>114</v>
      </c>
      <c r="D308" t="s">
        <v>51</v>
      </c>
      <c r="F308" t="s">
        <v>113</v>
      </c>
      <c r="I308" s="17" t="e">
        <f>INDEX(N:N,MATCH(A308,O:O,0))/100</f>
        <v>#N/A</v>
      </c>
      <c r="J308" s="17" t="e">
        <f>INDEX(V:V,MATCH(A308,W:W,0))/100</f>
        <v>#N/A</v>
      </c>
      <c r="K308" s="18" t="s">
        <v>545</v>
      </c>
    </row>
    <row r="309" spans="1:11" x14ac:dyDescent="0.3">
      <c r="A309" t="s">
        <v>381</v>
      </c>
      <c r="B309" t="s">
        <v>549</v>
      </c>
      <c r="C309" t="s">
        <v>114</v>
      </c>
      <c r="D309" t="s">
        <v>51</v>
      </c>
      <c r="F309" t="s">
        <v>113</v>
      </c>
      <c r="I309" s="18" t="e">
        <f>INDEX(M:M,MATCH(A308,O:O,0))</f>
        <v>#N/A</v>
      </c>
      <c r="J309" s="18" t="e">
        <f>INDEX(U:U,MATCH(A308,W:W,0))</f>
        <v>#N/A</v>
      </c>
      <c r="K309" s="19" t="s">
        <v>539</v>
      </c>
    </row>
    <row r="310" spans="1:11" x14ac:dyDescent="0.3">
      <c r="A310" t="s">
        <v>382</v>
      </c>
      <c r="B310" t="s">
        <v>549</v>
      </c>
      <c r="C310" t="s">
        <v>114</v>
      </c>
      <c r="D310" t="s">
        <v>51</v>
      </c>
      <c r="F310" t="s">
        <v>118</v>
      </c>
      <c r="I310" s="17" t="e">
        <f>INDEX(N:N,MATCH(A310,O:O,0))/100</f>
        <v>#N/A</v>
      </c>
      <c r="J310" s="17" t="e">
        <f>INDEX(V:V,MATCH(A310,W:W,0))/100</f>
        <v>#N/A</v>
      </c>
      <c r="K310" s="18" t="s">
        <v>545</v>
      </c>
    </row>
    <row r="311" spans="1:11" x14ac:dyDescent="0.3">
      <c r="A311" t="s">
        <v>382</v>
      </c>
      <c r="B311" t="s">
        <v>549</v>
      </c>
      <c r="C311" t="s">
        <v>114</v>
      </c>
      <c r="D311" t="s">
        <v>51</v>
      </c>
      <c r="F311" t="s">
        <v>118</v>
      </c>
      <c r="I311" s="18" t="e">
        <f>INDEX(M:M,MATCH(A310,O:O,0))</f>
        <v>#N/A</v>
      </c>
      <c r="J311" s="18" t="e">
        <f>INDEX(U:U,MATCH(A310,W:W,0))</f>
        <v>#N/A</v>
      </c>
      <c r="K311" s="19" t="s">
        <v>539</v>
      </c>
    </row>
    <row r="312" spans="1:11" x14ac:dyDescent="0.3">
      <c r="A312" t="s">
        <v>383</v>
      </c>
      <c r="B312" t="s">
        <v>549</v>
      </c>
      <c r="C312" t="s">
        <v>114</v>
      </c>
      <c r="D312" t="s">
        <v>51</v>
      </c>
      <c r="F312" t="s">
        <v>127</v>
      </c>
      <c r="I312" s="17" t="e">
        <f>INDEX(N:N,MATCH(A312,O:O,0))/100</f>
        <v>#N/A</v>
      </c>
      <c r="J312" s="17" t="e">
        <f>INDEX(V:V,MATCH(A312,W:W,0))/100</f>
        <v>#N/A</v>
      </c>
      <c r="K312" s="18" t="s">
        <v>545</v>
      </c>
    </row>
    <row r="313" spans="1:11" x14ac:dyDescent="0.3">
      <c r="A313" t="s">
        <v>383</v>
      </c>
      <c r="B313" t="s">
        <v>549</v>
      </c>
      <c r="C313" t="s">
        <v>114</v>
      </c>
      <c r="D313" t="s">
        <v>51</v>
      </c>
      <c r="F313" t="s">
        <v>127</v>
      </c>
      <c r="I313" s="18" t="e">
        <f>INDEX(M:M,MATCH(A312,O:O,0))</f>
        <v>#N/A</v>
      </c>
      <c r="J313" s="18" t="e">
        <f>INDEX(U:U,MATCH(A312,W:W,0))</f>
        <v>#N/A</v>
      </c>
      <c r="K313" s="19" t="s">
        <v>539</v>
      </c>
    </row>
    <row r="314" spans="1:11" x14ac:dyDescent="0.3">
      <c r="A314" t="s">
        <v>384</v>
      </c>
      <c r="B314" t="s">
        <v>549</v>
      </c>
      <c r="C314" t="s">
        <v>114</v>
      </c>
      <c r="D314" t="s">
        <v>51</v>
      </c>
      <c r="F314" t="s">
        <v>550</v>
      </c>
      <c r="I314" s="17" t="e">
        <f>INDEX(N:N,MATCH(A314,O:O,0))/100</f>
        <v>#N/A</v>
      </c>
      <c r="J314" s="17" t="e">
        <f>INDEX(V:V,MATCH(A314,W:W,0))/100</f>
        <v>#N/A</v>
      </c>
      <c r="K314" s="18" t="s">
        <v>545</v>
      </c>
    </row>
    <row r="315" spans="1:11" x14ac:dyDescent="0.3">
      <c r="A315" t="s">
        <v>384</v>
      </c>
      <c r="B315" t="s">
        <v>549</v>
      </c>
      <c r="C315" t="s">
        <v>114</v>
      </c>
      <c r="D315" t="s">
        <v>51</v>
      </c>
      <c r="F315" t="s">
        <v>550</v>
      </c>
      <c r="I315" s="18" t="e">
        <f>INDEX(M:M,MATCH(A314,O:O,0))</f>
        <v>#N/A</v>
      </c>
      <c r="J315" s="18" t="e">
        <f>INDEX(U:U,MATCH(A314,W:W,0))</f>
        <v>#N/A</v>
      </c>
      <c r="K315" s="19" t="s">
        <v>539</v>
      </c>
    </row>
    <row r="316" spans="1:11" x14ac:dyDescent="0.3">
      <c r="A316" t="s">
        <v>385</v>
      </c>
      <c r="B316" t="s">
        <v>549</v>
      </c>
      <c r="C316" t="s">
        <v>114</v>
      </c>
      <c r="D316" t="s">
        <v>51</v>
      </c>
      <c r="F316" t="s">
        <v>551</v>
      </c>
      <c r="H316" t="s">
        <v>552</v>
      </c>
      <c r="I316" s="17" t="e">
        <f>INDEX(N:N,MATCH(A316,O:O,0))/100</f>
        <v>#N/A</v>
      </c>
      <c r="J316" s="17" t="e">
        <f>INDEX(V:V,MATCH(A316,W:W,0))/100</f>
        <v>#N/A</v>
      </c>
      <c r="K316" s="18" t="s">
        <v>545</v>
      </c>
    </row>
    <row r="317" spans="1:11" x14ac:dyDescent="0.3">
      <c r="A317" t="s">
        <v>385</v>
      </c>
      <c r="B317" t="s">
        <v>549</v>
      </c>
      <c r="C317" t="s">
        <v>114</v>
      </c>
      <c r="D317" t="s">
        <v>51</v>
      </c>
      <c r="F317" t="s">
        <v>551</v>
      </c>
      <c r="H317" t="s">
        <v>552</v>
      </c>
      <c r="I317" s="18" t="e">
        <f>INDEX(M:M,MATCH(A316,O:O,0))</f>
        <v>#N/A</v>
      </c>
      <c r="J317" s="18" t="e">
        <f>INDEX(U:U,MATCH(A316,W:W,0))</f>
        <v>#N/A</v>
      </c>
      <c r="K317" s="19" t="s">
        <v>539</v>
      </c>
    </row>
    <row r="318" spans="1:11" x14ac:dyDescent="0.3">
      <c r="A318" t="s">
        <v>386</v>
      </c>
      <c r="B318" t="s">
        <v>549</v>
      </c>
      <c r="C318" t="s">
        <v>114</v>
      </c>
      <c r="D318" t="s">
        <v>51</v>
      </c>
      <c r="F318" t="s">
        <v>551</v>
      </c>
      <c r="H318" t="s">
        <v>553</v>
      </c>
      <c r="I318" s="17" t="e">
        <f>INDEX(N:N,MATCH(A318,O:O,0))/100</f>
        <v>#N/A</v>
      </c>
      <c r="J318" s="17" t="e">
        <f>INDEX(V:V,MATCH(A318,W:W,0))/100</f>
        <v>#N/A</v>
      </c>
      <c r="K318" s="18" t="s">
        <v>545</v>
      </c>
    </row>
    <row r="319" spans="1:11" x14ac:dyDescent="0.3">
      <c r="A319" t="s">
        <v>386</v>
      </c>
      <c r="B319" t="s">
        <v>549</v>
      </c>
      <c r="C319" t="s">
        <v>114</v>
      </c>
      <c r="D319" t="s">
        <v>51</v>
      </c>
      <c r="F319" t="s">
        <v>551</v>
      </c>
      <c r="H319" t="s">
        <v>553</v>
      </c>
      <c r="I319" s="18" t="e">
        <f>INDEX(M:M,MATCH(A318,O:O,0))</f>
        <v>#N/A</v>
      </c>
      <c r="J319" s="18" t="e">
        <f>INDEX(U:U,MATCH(A318,W:W,0))</f>
        <v>#N/A</v>
      </c>
      <c r="K319" s="19" t="s">
        <v>539</v>
      </c>
    </row>
    <row r="320" spans="1:11" x14ac:dyDescent="0.3">
      <c r="A320" t="s">
        <v>387</v>
      </c>
      <c r="B320" t="s">
        <v>549</v>
      </c>
      <c r="C320" t="s">
        <v>114</v>
      </c>
      <c r="D320" t="s">
        <v>51</v>
      </c>
      <c r="F320" t="s">
        <v>551</v>
      </c>
      <c r="H320" t="s">
        <v>554</v>
      </c>
      <c r="I320" s="17" t="e">
        <f>INDEX(N:N,MATCH(A320,O:O,0))/100</f>
        <v>#N/A</v>
      </c>
      <c r="J320" s="17" t="e">
        <f>INDEX(V:V,MATCH(A320,W:W,0))/100</f>
        <v>#N/A</v>
      </c>
      <c r="K320" s="18" t="s">
        <v>545</v>
      </c>
    </row>
    <row r="321" spans="1:11" x14ac:dyDescent="0.3">
      <c r="A321" t="s">
        <v>387</v>
      </c>
      <c r="B321" t="s">
        <v>549</v>
      </c>
      <c r="C321" t="s">
        <v>114</v>
      </c>
      <c r="D321" t="s">
        <v>51</v>
      </c>
      <c r="F321" t="s">
        <v>551</v>
      </c>
      <c r="H321" t="s">
        <v>554</v>
      </c>
      <c r="I321" s="18" t="e">
        <f>INDEX(M:M,MATCH(A320,O:O,0))</f>
        <v>#N/A</v>
      </c>
      <c r="J321" s="18" t="e">
        <f>INDEX(U:U,MATCH(A320,W:W,0))</f>
        <v>#N/A</v>
      </c>
      <c r="K321" s="19" t="s">
        <v>539</v>
      </c>
    </row>
    <row r="322" spans="1:11" x14ac:dyDescent="0.3">
      <c r="A322" t="s">
        <v>388</v>
      </c>
      <c r="B322" t="s">
        <v>549</v>
      </c>
      <c r="C322" t="s">
        <v>114</v>
      </c>
      <c r="D322" t="s">
        <v>51</v>
      </c>
      <c r="G322" t="s">
        <v>115</v>
      </c>
      <c r="I322" s="17" t="e">
        <f>INDEX(N:N,MATCH(A322,O:O,0))/100</f>
        <v>#N/A</v>
      </c>
      <c r="J322" s="17" t="e">
        <f>INDEX(V:V,MATCH(A322,W:W,0))/100</f>
        <v>#N/A</v>
      </c>
      <c r="K322" s="18" t="s">
        <v>545</v>
      </c>
    </row>
    <row r="323" spans="1:11" x14ac:dyDescent="0.3">
      <c r="A323" t="s">
        <v>388</v>
      </c>
      <c r="B323" t="s">
        <v>549</v>
      </c>
      <c r="C323" t="s">
        <v>114</v>
      </c>
      <c r="D323" t="s">
        <v>51</v>
      </c>
      <c r="G323" t="s">
        <v>115</v>
      </c>
      <c r="I323" s="18" t="e">
        <f>INDEX(M:M,MATCH(A322,O:O,0))</f>
        <v>#N/A</v>
      </c>
      <c r="J323" s="18" t="e">
        <f>INDEX(U:U,MATCH(A322,W:W,0))</f>
        <v>#N/A</v>
      </c>
      <c r="K323" s="19" t="s">
        <v>539</v>
      </c>
    </row>
    <row r="324" spans="1:11" x14ac:dyDescent="0.3">
      <c r="A324" t="s">
        <v>389</v>
      </c>
      <c r="B324" t="s">
        <v>549</v>
      </c>
      <c r="C324" t="s">
        <v>114</v>
      </c>
      <c r="D324" t="s">
        <v>51</v>
      </c>
      <c r="G324" t="s">
        <v>120</v>
      </c>
      <c r="I324" s="17" t="e">
        <f>INDEX(N:N,MATCH(A324,O:O,0))/100</f>
        <v>#N/A</v>
      </c>
      <c r="J324" s="17" t="e">
        <f>INDEX(V:V,MATCH(A324,W:W,0))/100</f>
        <v>#N/A</v>
      </c>
      <c r="K324" s="18" t="s">
        <v>545</v>
      </c>
    </row>
    <row r="325" spans="1:11" x14ac:dyDescent="0.3">
      <c r="A325" t="s">
        <v>389</v>
      </c>
      <c r="B325" t="s">
        <v>549</v>
      </c>
      <c r="C325" t="s">
        <v>114</v>
      </c>
      <c r="D325" t="s">
        <v>51</v>
      </c>
      <c r="G325" t="s">
        <v>120</v>
      </c>
      <c r="I325" s="18" t="e">
        <f>INDEX(M:M,MATCH(A324,O:O,0))</f>
        <v>#N/A</v>
      </c>
      <c r="J325" s="18" t="e">
        <f>INDEX(U:U,MATCH(A324,W:W,0))</f>
        <v>#N/A</v>
      </c>
      <c r="K325" s="19" t="s">
        <v>539</v>
      </c>
    </row>
    <row r="326" spans="1:11" x14ac:dyDescent="0.3">
      <c r="A326" t="s">
        <v>390</v>
      </c>
      <c r="B326" t="s">
        <v>549</v>
      </c>
      <c r="C326" t="s">
        <v>114</v>
      </c>
      <c r="D326" t="s">
        <v>51</v>
      </c>
      <c r="G326" t="s">
        <v>117</v>
      </c>
      <c r="I326" s="17" t="e">
        <f>INDEX(N:N,MATCH(A326,O:O,0))/100</f>
        <v>#N/A</v>
      </c>
      <c r="J326" s="17" t="e">
        <f>INDEX(V:V,MATCH(A326,W:W,0))/100</f>
        <v>#N/A</v>
      </c>
      <c r="K326" s="18" t="s">
        <v>545</v>
      </c>
    </row>
    <row r="327" spans="1:11" x14ac:dyDescent="0.3">
      <c r="A327" t="s">
        <v>390</v>
      </c>
      <c r="B327" t="s">
        <v>549</v>
      </c>
      <c r="C327" t="s">
        <v>114</v>
      </c>
      <c r="D327" t="s">
        <v>51</v>
      </c>
      <c r="G327" t="s">
        <v>117</v>
      </c>
      <c r="I327" s="18" t="e">
        <f>INDEX(M:M,MATCH(A326,O:O,0))</f>
        <v>#N/A</v>
      </c>
      <c r="J327" s="18" t="e">
        <f>INDEX(U:U,MATCH(A326,W:W,0))</f>
        <v>#N/A</v>
      </c>
      <c r="K327" s="19" t="s">
        <v>539</v>
      </c>
    </row>
    <row r="328" spans="1:11" x14ac:dyDescent="0.3">
      <c r="A328" t="s">
        <v>391</v>
      </c>
      <c r="B328" t="s">
        <v>549</v>
      </c>
      <c r="C328" t="s">
        <v>114</v>
      </c>
      <c r="D328" t="s">
        <v>52</v>
      </c>
      <c r="E328" t="s">
        <v>555</v>
      </c>
      <c r="I328" s="17" t="e">
        <f>INDEX(N:N,MATCH(A328,O:O,0))/100</f>
        <v>#N/A</v>
      </c>
      <c r="J328" s="17" t="e">
        <f>INDEX(V:V,MATCH(A328,W:W,0))/100</f>
        <v>#N/A</v>
      </c>
      <c r="K328" s="18" t="s">
        <v>545</v>
      </c>
    </row>
    <row r="329" spans="1:11" x14ac:dyDescent="0.3">
      <c r="A329" t="s">
        <v>391</v>
      </c>
      <c r="B329" t="s">
        <v>549</v>
      </c>
      <c r="C329" t="s">
        <v>114</v>
      </c>
      <c r="D329" t="s">
        <v>52</v>
      </c>
      <c r="E329" t="s">
        <v>555</v>
      </c>
      <c r="I329" s="18" t="e">
        <f>INDEX(M:M,MATCH(A328,O:O,0))</f>
        <v>#N/A</v>
      </c>
      <c r="J329" s="18" t="e">
        <f>INDEX(U:U,MATCH(A328,W:W,0))</f>
        <v>#N/A</v>
      </c>
      <c r="K329" s="19" t="s">
        <v>539</v>
      </c>
    </row>
    <row r="330" spans="1:11" x14ac:dyDescent="0.3">
      <c r="A330" t="s">
        <v>392</v>
      </c>
      <c r="B330" t="s">
        <v>549</v>
      </c>
      <c r="C330" t="s">
        <v>114</v>
      </c>
      <c r="D330" t="s">
        <v>52</v>
      </c>
      <c r="F330" t="s">
        <v>121</v>
      </c>
      <c r="I330" s="17" t="e">
        <f>INDEX(N:N,MATCH(A330,O:O,0))/100</f>
        <v>#N/A</v>
      </c>
      <c r="J330" s="17" t="e">
        <f>INDEX(V:V,MATCH(A330,W:W,0))/100</f>
        <v>#N/A</v>
      </c>
      <c r="K330" s="18" t="s">
        <v>545</v>
      </c>
    </row>
    <row r="331" spans="1:11" x14ac:dyDescent="0.3">
      <c r="A331" t="s">
        <v>392</v>
      </c>
      <c r="B331" t="s">
        <v>549</v>
      </c>
      <c r="C331" t="s">
        <v>114</v>
      </c>
      <c r="D331" t="s">
        <v>52</v>
      </c>
      <c r="F331" t="s">
        <v>121</v>
      </c>
      <c r="I331" s="18" t="e">
        <f>INDEX(M:M,MATCH(A330,O:O,0))</f>
        <v>#N/A</v>
      </c>
      <c r="J331" s="18" t="e">
        <f>INDEX(U:U,MATCH(A330,W:W,0))</f>
        <v>#N/A</v>
      </c>
      <c r="K331" s="19" t="s">
        <v>539</v>
      </c>
    </row>
    <row r="332" spans="1:11" x14ac:dyDescent="0.3">
      <c r="A332" t="s">
        <v>393</v>
      </c>
      <c r="B332" t="s">
        <v>549</v>
      </c>
      <c r="C332" t="s">
        <v>114</v>
      </c>
      <c r="D332" t="s">
        <v>52</v>
      </c>
      <c r="F332" t="s">
        <v>123</v>
      </c>
      <c r="I332" s="17" t="e">
        <f>INDEX(N:N,MATCH(A332,O:O,0))/100</f>
        <v>#N/A</v>
      </c>
      <c r="J332" s="17" t="e">
        <f>INDEX(V:V,MATCH(A332,W:W,0))/100</f>
        <v>#N/A</v>
      </c>
      <c r="K332" s="18" t="s">
        <v>545</v>
      </c>
    </row>
    <row r="333" spans="1:11" x14ac:dyDescent="0.3">
      <c r="A333" t="s">
        <v>393</v>
      </c>
      <c r="B333" t="s">
        <v>549</v>
      </c>
      <c r="C333" t="s">
        <v>114</v>
      </c>
      <c r="D333" t="s">
        <v>52</v>
      </c>
      <c r="F333" t="s">
        <v>123</v>
      </c>
      <c r="I333" s="18" t="e">
        <f>INDEX(M:M,MATCH(A332,O:O,0))</f>
        <v>#N/A</v>
      </c>
      <c r="J333" s="18" t="e">
        <f>INDEX(U:U,MATCH(A332,W:W,0))</f>
        <v>#N/A</v>
      </c>
      <c r="K333" s="19" t="s">
        <v>539</v>
      </c>
    </row>
    <row r="334" spans="1:11" x14ac:dyDescent="0.3">
      <c r="A334" t="s">
        <v>394</v>
      </c>
      <c r="B334" t="s">
        <v>549</v>
      </c>
      <c r="C334" t="s">
        <v>114</v>
      </c>
      <c r="D334" t="s">
        <v>52</v>
      </c>
      <c r="F334" t="s">
        <v>113</v>
      </c>
      <c r="I334" s="17" t="e">
        <f>INDEX(N:N,MATCH(A334,O:O,0))/100</f>
        <v>#N/A</v>
      </c>
      <c r="J334" s="17" t="e">
        <f>INDEX(V:V,MATCH(A334,W:W,0))/100</f>
        <v>#N/A</v>
      </c>
      <c r="K334" s="18" t="s">
        <v>545</v>
      </c>
    </row>
    <row r="335" spans="1:11" x14ac:dyDescent="0.3">
      <c r="A335" t="s">
        <v>394</v>
      </c>
      <c r="B335" t="s">
        <v>549</v>
      </c>
      <c r="C335" t="s">
        <v>114</v>
      </c>
      <c r="D335" t="s">
        <v>52</v>
      </c>
      <c r="F335" t="s">
        <v>113</v>
      </c>
      <c r="I335" s="18" t="e">
        <f>INDEX(M:M,MATCH(A334,O:O,0))</f>
        <v>#N/A</v>
      </c>
      <c r="J335" s="18" t="e">
        <f>INDEX(U:U,MATCH(A334,W:W,0))</f>
        <v>#N/A</v>
      </c>
      <c r="K335" s="19" t="s">
        <v>539</v>
      </c>
    </row>
    <row r="336" spans="1:11" x14ac:dyDescent="0.3">
      <c r="A336" t="s">
        <v>395</v>
      </c>
      <c r="B336" t="s">
        <v>549</v>
      </c>
      <c r="C336" t="s">
        <v>114</v>
      </c>
      <c r="D336" t="s">
        <v>52</v>
      </c>
      <c r="F336" t="s">
        <v>118</v>
      </c>
      <c r="I336" s="17" t="e">
        <f>INDEX(N:N,MATCH(A336,O:O,0))/100</f>
        <v>#N/A</v>
      </c>
      <c r="J336" s="17" t="e">
        <f>INDEX(V:V,MATCH(A336,W:W,0))/100</f>
        <v>#N/A</v>
      </c>
      <c r="K336" s="18" t="s">
        <v>545</v>
      </c>
    </row>
    <row r="337" spans="1:11" x14ac:dyDescent="0.3">
      <c r="A337" t="s">
        <v>395</v>
      </c>
      <c r="B337" t="s">
        <v>549</v>
      </c>
      <c r="C337" t="s">
        <v>114</v>
      </c>
      <c r="D337" t="s">
        <v>52</v>
      </c>
      <c r="F337" t="s">
        <v>118</v>
      </c>
      <c r="I337" s="18" t="e">
        <f>INDEX(M:M,MATCH(A336,O:O,0))</f>
        <v>#N/A</v>
      </c>
      <c r="J337" s="18" t="e">
        <f>INDEX(U:U,MATCH(A336,W:W,0))</f>
        <v>#N/A</v>
      </c>
      <c r="K337" s="19" t="s">
        <v>539</v>
      </c>
    </row>
    <row r="338" spans="1:11" x14ac:dyDescent="0.3">
      <c r="A338" t="s">
        <v>396</v>
      </c>
      <c r="B338" t="s">
        <v>549</v>
      </c>
      <c r="C338" t="s">
        <v>114</v>
      </c>
      <c r="D338" t="s">
        <v>52</v>
      </c>
      <c r="F338" t="s">
        <v>127</v>
      </c>
      <c r="I338" s="17" t="e">
        <f>INDEX(N:N,MATCH(A338,O:O,0))/100</f>
        <v>#N/A</v>
      </c>
      <c r="J338" s="17" t="e">
        <f>INDEX(V:V,MATCH(A338,W:W,0))/100</f>
        <v>#N/A</v>
      </c>
      <c r="K338" s="18" t="s">
        <v>545</v>
      </c>
    </row>
    <row r="339" spans="1:11" x14ac:dyDescent="0.3">
      <c r="A339" t="s">
        <v>396</v>
      </c>
      <c r="B339" t="s">
        <v>549</v>
      </c>
      <c r="C339" t="s">
        <v>114</v>
      </c>
      <c r="D339" t="s">
        <v>52</v>
      </c>
      <c r="F339" t="s">
        <v>127</v>
      </c>
      <c r="I339" s="18" t="e">
        <f>INDEX(M:M,MATCH(A338,O:O,0))</f>
        <v>#N/A</v>
      </c>
      <c r="J339" s="18" t="e">
        <f>INDEX(U:U,MATCH(A338,W:W,0))</f>
        <v>#N/A</v>
      </c>
      <c r="K339" s="19" t="s">
        <v>539</v>
      </c>
    </row>
    <row r="340" spans="1:11" x14ac:dyDescent="0.3">
      <c r="A340" t="s">
        <v>397</v>
      </c>
      <c r="B340" t="s">
        <v>549</v>
      </c>
      <c r="C340" t="s">
        <v>114</v>
      </c>
      <c r="D340" t="s">
        <v>52</v>
      </c>
      <c r="F340" t="s">
        <v>550</v>
      </c>
      <c r="I340" s="17" t="e">
        <f>INDEX(N:N,MATCH(A340,O:O,0))/100</f>
        <v>#N/A</v>
      </c>
      <c r="J340" s="17" t="e">
        <f>INDEX(V:V,MATCH(A340,W:W,0))/100</f>
        <v>#N/A</v>
      </c>
      <c r="K340" s="18" t="s">
        <v>545</v>
      </c>
    </row>
    <row r="341" spans="1:11" x14ac:dyDescent="0.3">
      <c r="A341" t="s">
        <v>397</v>
      </c>
      <c r="B341" t="s">
        <v>549</v>
      </c>
      <c r="C341" t="s">
        <v>114</v>
      </c>
      <c r="D341" t="s">
        <v>52</v>
      </c>
      <c r="F341" t="s">
        <v>550</v>
      </c>
      <c r="I341" s="18" t="e">
        <f>INDEX(M:M,MATCH(A340,O:O,0))</f>
        <v>#N/A</v>
      </c>
      <c r="J341" s="18" t="e">
        <f>INDEX(U:U,MATCH(A340,W:W,0))</f>
        <v>#N/A</v>
      </c>
      <c r="K341" s="19" t="s">
        <v>539</v>
      </c>
    </row>
    <row r="342" spans="1:11" x14ac:dyDescent="0.3">
      <c r="A342" t="s">
        <v>398</v>
      </c>
      <c r="B342" t="s">
        <v>549</v>
      </c>
      <c r="C342" t="s">
        <v>114</v>
      </c>
      <c r="D342" t="s">
        <v>52</v>
      </c>
      <c r="F342" t="s">
        <v>551</v>
      </c>
      <c r="H342" t="s">
        <v>552</v>
      </c>
      <c r="I342" s="17" t="e">
        <f>INDEX(N:N,MATCH(A342,O:O,0))/100</f>
        <v>#N/A</v>
      </c>
      <c r="J342" s="17" t="e">
        <f>INDEX(V:V,MATCH(A342,W:W,0))/100</f>
        <v>#N/A</v>
      </c>
      <c r="K342" s="18" t="s">
        <v>545</v>
      </c>
    </row>
    <row r="343" spans="1:11" x14ac:dyDescent="0.3">
      <c r="A343" t="s">
        <v>398</v>
      </c>
      <c r="B343" t="s">
        <v>549</v>
      </c>
      <c r="C343" t="s">
        <v>114</v>
      </c>
      <c r="D343" t="s">
        <v>52</v>
      </c>
      <c r="F343" t="s">
        <v>551</v>
      </c>
      <c r="H343" t="s">
        <v>552</v>
      </c>
      <c r="I343" s="18" t="e">
        <f>INDEX(M:M,MATCH(A342,O:O,0))</f>
        <v>#N/A</v>
      </c>
      <c r="J343" s="18" t="e">
        <f>INDEX(U:U,MATCH(A342,W:W,0))</f>
        <v>#N/A</v>
      </c>
      <c r="K343" s="19" t="s">
        <v>539</v>
      </c>
    </row>
    <row r="344" spans="1:11" x14ac:dyDescent="0.3">
      <c r="A344" t="s">
        <v>399</v>
      </c>
      <c r="B344" t="s">
        <v>549</v>
      </c>
      <c r="C344" t="s">
        <v>114</v>
      </c>
      <c r="D344" t="s">
        <v>52</v>
      </c>
      <c r="F344" t="s">
        <v>551</v>
      </c>
      <c r="H344" t="s">
        <v>553</v>
      </c>
      <c r="I344" s="17" t="e">
        <f>INDEX(N:N,MATCH(A344,O:O,0))/100</f>
        <v>#N/A</v>
      </c>
      <c r="J344" s="17" t="e">
        <f>INDEX(V:V,MATCH(A344,W:W,0))/100</f>
        <v>#N/A</v>
      </c>
      <c r="K344" s="18" t="s">
        <v>545</v>
      </c>
    </row>
    <row r="345" spans="1:11" x14ac:dyDescent="0.3">
      <c r="A345" t="s">
        <v>399</v>
      </c>
      <c r="B345" t="s">
        <v>549</v>
      </c>
      <c r="C345" t="s">
        <v>114</v>
      </c>
      <c r="D345" t="s">
        <v>52</v>
      </c>
      <c r="F345" t="s">
        <v>551</v>
      </c>
      <c r="H345" t="s">
        <v>553</v>
      </c>
      <c r="I345" s="18" t="e">
        <f>INDEX(M:M,MATCH(A344,O:O,0))</f>
        <v>#N/A</v>
      </c>
      <c r="J345" s="18" t="e">
        <f>INDEX(U:U,MATCH(A344,W:W,0))</f>
        <v>#N/A</v>
      </c>
      <c r="K345" s="19" t="s">
        <v>539</v>
      </c>
    </row>
    <row r="346" spans="1:11" x14ac:dyDescent="0.3">
      <c r="A346" t="s">
        <v>400</v>
      </c>
      <c r="B346" t="s">
        <v>549</v>
      </c>
      <c r="C346" t="s">
        <v>114</v>
      </c>
      <c r="D346" t="s">
        <v>52</v>
      </c>
      <c r="F346" t="s">
        <v>551</v>
      </c>
      <c r="H346" t="s">
        <v>554</v>
      </c>
      <c r="I346" s="17" t="e">
        <f>INDEX(N:N,MATCH(A346,O:O,0))/100</f>
        <v>#N/A</v>
      </c>
      <c r="J346" s="17" t="e">
        <f>INDEX(V:V,MATCH(A346,W:W,0))/100</f>
        <v>#N/A</v>
      </c>
      <c r="K346" s="18" t="s">
        <v>545</v>
      </c>
    </row>
    <row r="347" spans="1:11" x14ac:dyDescent="0.3">
      <c r="A347" t="s">
        <v>400</v>
      </c>
      <c r="B347" t="s">
        <v>549</v>
      </c>
      <c r="C347" t="s">
        <v>114</v>
      </c>
      <c r="D347" t="s">
        <v>52</v>
      </c>
      <c r="F347" t="s">
        <v>551</v>
      </c>
      <c r="H347" t="s">
        <v>554</v>
      </c>
      <c r="I347" s="18" t="e">
        <f>INDEX(M:M,MATCH(A346,O:O,0))</f>
        <v>#N/A</v>
      </c>
      <c r="J347" s="18" t="e">
        <f>INDEX(U:U,MATCH(A346,W:W,0))</f>
        <v>#N/A</v>
      </c>
      <c r="K347" s="19" t="s">
        <v>539</v>
      </c>
    </row>
    <row r="348" spans="1:11" x14ac:dyDescent="0.3">
      <c r="A348" t="s">
        <v>401</v>
      </c>
      <c r="B348" t="s">
        <v>549</v>
      </c>
      <c r="C348" t="s">
        <v>114</v>
      </c>
      <c r="D348" t="s">
        <v>52</v>
      </c>
      <c r="G348" t="s">
        <v>115</v>
      </c>
      <c r="I348" s="17" t="e">
        <f>INDEX(N:N,MATCH(A348,O:O,0))/100</f>
        <v>#N/A</v>
      </c>
      <c r="J348" s="17" t="e">
        <f>INDEX(V:V,MATCH(A348,W:W,0))/100</f>
        <v>#N/A</v>
      </c>
      <c r="K348" s="18" t="s">
        <v>545</v>
      </c>
    </row>
    <row r="349" spans="1:11" x14ac:dyDescent="0.3">
      <c r="A349" t="s">
        <v>401</v>
      </c>
      <c r="B349" t="s">
        <v>549</v>
      </c>
      <c r="C349" t="s">
        <v>114</v>
      </c>
      <c r="D349" t="s">
        <v>52</v>
      </c>
      <c r="G349" t="s">
        <v>115</v>
      </c>
      <c r="I349" s="18" t="e">
        <f>INDEX(M:M,MATCH(A348,O:O,0))</f>
        <v>#N/A</v>
      </c>
      <c r="J349" s="18" t="e">
        <f>INDEX(U:U,MATCH(A348,W:W,0))</f>
        <v>#N/A</v>
      </c>
      <c r="K349" s="19" t="s">
        <v>539</v>
      </c>
    </row>
    <row r="350" spans="1:11" x14ac:dyDescent="0.3">
      <c r="A350" t="s">
        <v>402</v>
      </c>
      <c r="B350" t="s">
        <v>549</v>
      </c>
      <c r="C350" t="s">
        <v>114</v>
      </c>
      <c r="D350" t="s">
        <v>52</v>
      </c>
      <c r="G350" t="s">
        <v>120</v>
      </c>
      <c r="I350" s="17" t="e">
        <f>INDEX(N:N,MATCH(A350,O:O,0))/100</f>
        <v>#N/A</v>
      </c>
      <c r="J350" s="17" t="e">
        <f>INDEX(V:V,MATCH(A350,W:W,0))/100</f>
        <v>#N/A</v>
      </c>
      <c r="K350" s="18" t="s">
        <v>545</v>
      </c>
    </row>
    <row r="351" spans="1:11" x14ac:dyDescent="0.3">
      <c r="A351" t="s">
        <v>402</v>
      </c>
      <c r="B351" t="s">
        <v>549</v>
      </c>
      <c r="C351" t="s">
        <v>114</v>
      </c>
      <c r="D351" t="s">
        <v>52</v>
      </c>
      <c r="G351" t="s">
        <v>120</v>
      </c>
      <c r="I351" s="18" t="e">
        <f>INDEX(M:M,MATCH(A350,O:O,0))</f>
        <v>#N/A</v>
      </c>
      <c r="J351" s="18" t="e">
        <f>INDEX(U:U,MATCH(A350,W:W,0))</f>
        <v>#N/A</v>
      </c>
      <c r="K351" s="19" t="s">
        <v>539</v>
      </c>
    </row>
    <row r="352" spans="1:11" x14ac:dyDescent="0.3">
      <c r="A352" t="s">
        <v>403</v>
      </c>
      <c r="B352" t="s">
        <v>549</v>
      </c>
      <c r="C352" t="s">
        <v>114</v>
      </c>
      <c r="D352" t="s">
        <v>52</v>
      </c>
      <c r="G352" t="s">
        <v>117</v>
      </c>
      <c r="I352" s="17" t="e">
        <f>INDEX(N:N,MATCH(A352,O:O,0))/100</f>
        <v>#N/A</v>
      </c>
      <c r="J352" s="17" t="e">
        <f>INDEX(V:V,MATCH(A352,W:W,0))/100</f>
        <v>#N/A</v>
      </c>
      <c r="K352" s="18" t="s">
        <v>545</v>
      </c>
    </row>
    <row r="353" spans="1:11" x14ac:dyDescent="0.3">
      <c r="A353" t="s">
        <v>403</v>
      </c>
      <c r="B353" t="s">
        <v>549</v>
      </c>
      <c r="C353" t="s">
        <v>114</v>
      </c>
      <c r="D353" t="s">
        <v>52</v>
      </c>
      <c r="G353" t="s">
        <v>117</v>
      </c>
      <c r="I353" s="18" t="e">
        <f>INDEX(M:M,MATCH(A352,O:O,0))</f>
        <v>#N/A</v>
      </c>
      <c r="J353" s="18" t="e">
        <f>INDEX(U:U,MATCH(A352,W:W,0))</f>
        <v>#N/A</v>
      </c>
      <c r="K353" s="19" t="s">
        <v>539</v>
      </c>
    </row>
    <row r="354" spans="1:11" x14ac:dyDescent="0.3">
      <c r="A354" t="s">
        <v>404</v>
      </c>
      <c r="B354" t="s">
        <v>549</v>
      </c>
      <c r="C354" t="s">
        <v>124</v>
      </c>
      <c r="D354" t="s">
        <v>48</v>
      </c>
      <c r="E354" t="s">
        <v>555</v>
      </c>
      <c r="I354" s="17" t="e">
        <f>INDEX(N:N,MATCH(A354,O:O,0))/100</f>
        <v>#N/A</v>
      </c>
      <c r="J354" s="17" t="e">
        <f>INDEX(V:V,MATCH(A354,W:W,0))/100</f>
        <v>#N/A</v>
      </c>
      <c r="K354" s="18" t="s">
        <v>545</v>
      </c>
    </row>
    <row r="355" spans="1:11" x14ac:dyDescent="0.3">
      <c r="A355" t="s">
        <v>404</v>
      </c>
      <c r="B355" t="s">
        <v>549</v>
      </c>
      <c r="C355" t="s">
        <v>124</v>
      </c>
      <c r="D355" t="s">
        <v>48</v>
      </c>
      <c r="E355" t="s">
        <v>555</v>
      </c>
      <c r="I355" s="18" t="e">
        <f>INDEX(M:M,MATCH(A354,O:O,0))</f>
        <v>#N/A</v>
      </c>
      <c r="J355" s="18" t="e">
        <f>INDEX(U:U,MATCH(A354,W:W,0))</f>
        <v>#N/A</v>
      </c>
      <c r="K355" s="19" t="s">
        <v>539</v>
      </c>
    </row>
    <row r="356" spans="1:11" x14ac:dyDescent="0.3">
      <c r="A356" t="s">
        <v>405</v>
      </c>
      <c r="B356" t="s">
        <v>549</v>
      </c>
      <c r="C356" t="s">
        <v>124</v>
      </c>
      <c r="D356" t="s">
        <v>48</v>
      </c>
      <c r="F356" t="s">
        <v>121</v>
      </c>
      <c r="I356" s="17" t="e">
        <f>INDEX(N:N,MATCH(A356,O:O,0))/100</f>
        <v>#N/A</v>
      </c>
      <c r="J356" s="17" t="e">
        <f>INDEX(V:V,MATCH(A356,W:W,0))/100</f>
        <v>#N/A</v>
      </c>
      <c r="K356" s="18" t="s">
        <v>545</v>
      </c>
    </row>
    <row r="357" spans="1:11" x14ac:dyDescent="0.3">
      <c r="A357" t="s">
        <v>405</v>
      </c>
      <c r="B357" t="s">
        <v>549</v>
      </c>
      <c r="C357" t="s">
        <v>124</v>
      </c>
      <c r="D357" t="s">
        <v>48</v>
      </c>
      <c r="F357" t="s">
        <v>121</v>
      </c>
      <c r="I357" s="18" t="e">
        <f>INDEX(M:M,MATCH(A356,O:O,0))</f>
        <v>#N/A</v>
      </c>
      <c r="J357" s="18" t="e">
        <f>INDEX(U:U,MATCH(A356,W:W,0))</f>
        <v>#N/A</v>
      </c>
      <c r="K357" s="19" t="s">
        <v>539</v>
      </c>
    </row>
    <row r="358" spans="1:11" x14ac:dyDescent="0.3">
      <c r="A358" t="s">
        <v>406</v>
      </c>
      <c r="B358" t="s">
        <v>549</v>
      </c>
      <c r="C358" t="s">
        <v>124</v>
      </c>
      <c r="D358" t="s">
        <v>48</v>
      </c>
      <c r="F358" t="s">
        <v>123</v>
      </c>
      <c r="I358" s="17" t="e">
        <f>INDEX(N:N,MATCH(A358,O:O,0))/100</f>
        <v>#N/A</v>
      </c>
      <c r="J358" s="17" t="e">
        <f>INDEX(V:V,MATCH(A358,W:W,0))/100</f>
        <v>#N/A</v>
      </c>
      <c r="K358" s="18" t="s">
        <v>545</v>
      </c>
    </row>
    <row r="359" spans="1:11" x14ac:dyDescent="0.3">
      <c r="A359" t="s">
        <v>406</v>
      </c>
      <c r="B359" t="s">
        <v>549</v>
      </c>
      <c r="C359" t="s">
        <v>124</v>
      </c>
      <c r="D359" t="s">
        <v>48</v>
      </c>
      <c r="F359" t="s">
        <v>123</v>
      </c>
      <c r="I359" s="18" t="e">
        <f>INDEX(M:M,MATCH(A358,O:O,0))</f>
        <v>#N/A</v>
      </c>
      <c r="J359" s="18" t="e">
        <f>INDEX(U:U,MATCH(A358,W:W,0))</f>
        <v>#N/A</v>
      </c>
      <c r="K359" s="19" t="s">
        <v>539</v>
      </c>
    </row>
    <row r="360" spans="1:11" x14ac:dyDescent="0.3">
      <c r="A360" t="s">
        <v>407</v>
      </c>
      <c r="B360" t="s">
        <v>549</v>
      </c>
      <c r="C360" t="s">
        <v>124</v>
      </c>
      <c r="D360" t="s">
        <v>48</v>
      </c>
      <c r="F360" t="s">
        <v>113</v>
      </c>
      <c r="I360" s="17" t="e">
        <f>INDEX(N:N,MATCH(A360,O:O,0))/100</f>
        <v>#N/A</v>
      </c>
      <c r="J360" s="17" t="e">
        <f>INDEX(V:V,MATCH(A360,W:W,0))/100</f>
        <v>#N/A</v>
      </c>
      <c r="K360" s="18" t="s">
        <v>545</v>
      </c>
    </row>
    <row r="361" spans="1:11" x14ac:dyDescent="0.3">
      <c r="A361" t="s">
        <v>407</v>
      </c>
      <c r="B361" t="s">
        <v>549</v>
      </c>
      <c r="C361" t="s">
        <v>124</v>
      </c>
      <c r="D361" t="s">
        <v>48</v>
      </c>
      <c r="F361" t="s">
        <v>113</v>
      </c>
      <c r="I361" s="18" t="e">
        <f>INDEX(M:M,MATCH(A360,O:O,0))</f>
        <v>#N/A</v>
      </c>
      <c r="J361" s="18" t="e">
        <f>INDEX(U:U,MATCH(A360,W:W,0))</f>
        <v>#N/A</v>
      </c>
      <c r="K361" s="19" t="s">
        <v>539</v>
      </c>
    </row>
    <row r="362" spans="1:11" x14ac:dyDescent="0.3">
      <c r="A362" t="s">
        <v>408</v>
      </c>
      <c r="B362" t="s">
        <v>549</v>
      </c>
      <c r="C362" t="s">
        <v>124</v>
      </c>
      <c r="D362" t="s">
        <v>48</v>
      </c>
      <c r="F362" t="s">
        <v>118</v>
      </c>
      <c r="I362" s="17" t="e">
        <f>INDEX(N:N,MATCH(A362,O:O,0))/100</f>
        <v>#N/A</v>
      </c>
      <c r="J362" s="17" t="e">
        <f>INDEX(V:V,MATCH(A362,W:W,0))/100</f>
        <v>#N/A</v>
      </c>
      <c r="K362" s="18" t="s">
        <v>545</v>
      </c>
    </row>
    <row r="363" spans="1:11" x14ac:dyDescent="0.3">
      <c r="A363" t="s">
        <v>408</v>
      </c>
      <c r="B363" t="s">
        <v>549</v>
      </c>
      <c r="C363" t="s">
        <v>124</v>
      </c>
      <c r="D363" t="s">
        <v>48</v>
      </c>
      <c r="F363" t="s">
        <v>118</v>
      </c>
      <c r="I363" s="18" t="e">
        <f>INDEX(M:M,MATCH(A362,O:O,0))</f>
        <v>#N/A</v>
      </c>
      <c r="J363" s="18" t="e">
        <f>INDEX(U:U,MATCH(A362,W:W,0))</f>
        <v>#N/A</v>
      </c>
      <c r="K363" s="19" t="s">
        <v>539</v>
      </c>
    </row>
    <row r="364" spans="1:11" x14ac:dyDescent="0.3">
      <c r="A364" t="s">
        <v>409</v>
      </c>
      <c r="B364" t="s">
        <v>549</v>
      </c>
      <c r="C364" t="s">
        <v>124</v>
      </c>
      <c r="D364" t="s">
        <v>48</v>
      </c>
      <c r="F364" t="s">
        <v>127</v>
      </c>
      <c r="I364" s="17" t="e">
        <f>INDEX(N:N,MATCH(A364,O:O,0))/100</f>
        <v>#N/A</v>
      </c>
      <c r="J364" s="17" t="e">
        <f>INDEX(V:V,MATCH(A364,W:W,0))/100</f>
        <v>#N/A</v>
      </c>
      <c r="K364" s="18" t="s">
        <v>545</v>
      </c>
    </row>
    <row r="365" spans="1:11" x14ac:dyDescent="0.3">
      <c r="A365" t="s">
        <v>409</v>
      </c>
      <c r="B365" t="s">
        <v>549</v>
      </c>
      <c r="C365" t="s">
        <v>124</v>
      </c>
      <c r="D365" t="s">
        <v>48</v>
      </c>
      <c r="F365" t="s">
        <v>127</v>
      </c>
      <c r="I365" s="18" t="e">
        <f>INDEX(M:M,MATCH(A364,O:O,0))</f>
        <v>#N/A</v>
      </c>
      <c r="J365" s="18" t="e">
        <f>INDEX(U:U,MATCH(A364,W:W,0))</f>
        <v>#N/A</v>
      </c>
      <c r="K365" s="19" t="s">
        <v>539</v>
      </c>
    </row>
    <row r="366" spans="1:11" x14ac:dyDescent="0.3">
      <c r="A366" t="s">
        <v>410</v>
      </c>
      <c r="B366" t="s">
        <v>549</v>
      </c>
      <c r="C366" t="s">
        <v>124</v>
      </c>
      <c r="D366" t="s">
        <v>48</v>
      </c>
      <c r="F366" t="s">
        <v>550</v>
      </c>
      <c r="I366" s="17" t="e">
        <f>INDEX(N:N,MATCH(A366,O:O,0))/100</f>
        <v>#N/A</v>
      </c>
      <c r="J366" s="17" t="e">
        <f>INDEX(V:V,MATCH(A366,W:W,0))/100</f>
        <v>#N/A</v>
      </c>
      <c r="K366" s="18" t="s">
        <v>545</v>
      </c>
    </row>
    <row r="367" spans="1:11" x14ac:dyDescent="0.3">
      <c r="A367" t="s">
        <v>410</v>
      </c>
      <c r="B367" t="s">
        <v>549</v>
      </c>
      <c r="C367" t="s">
        <v>124</v>
      </c>
      <c r="D367" t="s">
        <v>48</v>
      </c>
      <c r="F367" t="s">
        <v>550</v>
      </c>
      <c r="I367" s="18" t="e">
        <f>INDEX(M:M,MATCH(A366,O:O,0))</f>
        <v>#N/A</v>
      </c>
      <c r="J367" s="18" t="e">
        <f>INDEX(U:U,MATCH(A366,W:W,0))</f>
        <v>#N/A</v>
      </c>
      <c r="K367" s="19" t="s">
        <v>539</v>
      </c>
    </row>
    <row r="368" spans="1:11" x14ac:dyDescent="0.3">
      <c r="A368" t="s">
        <v>411</v>
      </c>
      <c r="B368" t="s">
        <v>549</v>
      </c>
      <c r="C368" t="s">
        <v>124</v>
      </c>
      <c r="D368" t="s">
        <v>48</v>
      </c>
      <c r="F368" t="s">
        <v>551</v>
      </c>
      <c r="H368" t="s">
        <v>552</v>
      </c>
      <c r="I368" s="17" t="e">
        <f>INDEX(N:N,MATCH(A368,O:O,0))/100</f>
        <v>#N/A</v>
      </c>
      <c r="J368" s="17" t="e">
        <f>INDEX(V:V,MATCH(A368,W:W,0))/100</f>
        <v>#N/A</v>
      </c>
      <c r="K368" s="18" t="s">
        <v>545</v>
      </c>
    </row>
    <row r="369" spans="1:11" x14ac:dyDescent="0.3">
      <c r="A369" t="s">
        <v>411</v>
      </c>
      <c r="B369" t="s">
        <v>549</v>
      </c>
      <c r="C369" t="s">
        <v>124</v>
      </c>
      <c r="D369" t="s">
        <v>48</v>
      </c>
      <c r="F369" t="s">
        <v>551</v>
      </c>
      <c r="H369" t="s">
        <v>552</v>
      </c>
      <c r="I369" s="18" t="e">
        <f>INDEX(M:M,MATCH(A368,O:O,0))</f>
        <v>#N/A</v>
      </c>
      <c r="J369" s="18" t="e">
        <f>INDEX(U:U,MATCH(A368,W:W,0))</f>
        <v>#N/A</v>
      </c>
      <c r="K369" s="19" t="s">
        <v>539</v>
      </c>
    </row>
    <row r="370" spans="1:11" x14ac:dyDescent="0.3">
      <c r="A370" t="s">
        <v>412</v>
      </c>
      <c r="B370" t="s">
        <v>549</v>
      </c>
      <c r="C370" t="s">
        <v>124</v>
      </c>
      <c r="D370" t="s">
        <v>48</v>
      </c>
      <c r="F370" t="s">
        <v>551</v>
      </c>
      <c r="H370" t="s">
        <v>553</v>
      </c>
      <c r="I370" s="17" t="e">
        <f>INDEX(N:N,MATCH(A370,O:O,0))/100</f>
        <v>#N/A</v>
      </c>
      <c r="J370" s="17" t="e">
        <f>INDEX(V:V,MATCH(A370,W:W,0))/100</f>
        <v>#N/A</v>
      </c>
      <c r="K370" s="18" t="s">
        <v>545</v>
      </c>
    </row>
    <row r="371" spans="1:11" x14ac:dyDescent="0.3">
      <c r="A371" t="s">
        <v>412</v>
      </c>
      <c r="B371" t="s">
        <v>549</v>
      </c>
      <c r="C371" t="s">
        <v>124</v>
      </c>
      <c r="D371" t="s">
        <v>48</v>
      </c>
      <c r="F371" t="s">
        <v>551</v>
      </c>
      <c r="H371" t="s">
        <v>553</v>
      </c>
      <c r="I371" s="18" t="e">
        <f>INDEX(M:M,MATCH(A370,O:O,0))</f>
        <v>#N/A</v>
      </c>
      <c r="J371" s="18" t="e">
        <f>INDEX(U:U,MATCH(A370,W:W,0))</f>
        <v>#N/A</v>
      </c>
      <c r="K371" s="19" t="s">
        <v>539</v>
      </c>
    </row>
    <row r="372" spans="1:11" x14ac:dyDescent="0.3">
      <c r="A372" t="s">
        <v>413</v>
      </c>
      <c r="B372" t="s">
        <v>549</v>
      </c>
      <c r="C372" t="s">
        <v>124</v>
      </c>
      <c r="D372" t="s">
        <v>48</v>
      </c>
      <c r="F372" t="s">
        <v>551</v>
      </c>
      <c r="H372" t="s">
        <v>554</v>
      </c>
      <c r="I372" s="17" t="e">
        <f>INDEX(N:N,MATCH(A372,O:O,0))/100</f>
        <v>#N/A</v>
      </c>
      <c r="J372" s="17" t="e">
        <f>INDEX(V:V,MATCH(A372,W:W,0))/100</f>
        <v>#N/A</v>
      </c>
      <c r="K372" s="18" t="s">
        <v>545</v>
      </c>
    </row>
    <row r="373" spans="1:11" x14ac:dyDescent="0.3">
      <c r="A373" t="s">
        <v>413</v>
      </c>
      <c r="B373" t="s">
        <v>549</v>
      </c>
      <c r="C373" t="s">
        <v>124</v>
      </c>
      <c r="D373" t="s">
        <v>48</v>
      </c>
      <c r="F373" t="s">
        <v>551</v>
      </c>
      <c r="H373" t="s">
        <v>554</v>
      </c>
      <c r="I373" s="18" t="e">
        <f>INDEX(M:M,MATCH(A372,O:O,0))</f>
        <v>#N/A</v>
      </c>
      <c r="J373" s="18" t="e">
        <f>INDEX(U:U,MATCH(A372,W:W,0))</f>
        <v>#N/A</v>
      </c>
      <c r="K373" s="19" t="s">
        <v>539</v>
      </c>
    </row>
    <row r="374" spans="1:11" x14ac:dyDescent="0.3">
      <c r="A374" t="s">
        <v>414</v>
      </c>
      <c r="B374" t="s">
        <v>549</v>
      </c>
      <c r="C374" t="s">
        <v>124</v>
      </c>
      <c r="D374" t="s">
        <v>48</v>
      </c>
      <c r="G374" t="s">
        <v>115</v>
      </c>
      <c r="I374" s="17" t="e">
        <f>INDEX(N:N,MATCH(A374,O:O,0))/100</f>
        <v>#N/A</v>
      </c>
      <c r="J374" s="17" t="e">
        <f>INDEX(V:V,MATCH(A374,W:W,0))/100</f>
        <v>#N/A</v>
      </c>
      <c r="K374" s="18" t="s">
        <v>545</v>
      </c>
    </row>
    <row r="375" spans="1:11" x14ac:dyDescent="0.3">
      <c r="A375" t="s">
        <v>414</v>
      </c>
      <c r="B375" t="s">
        <v>549</v>
      </c>
      <c r="C375" t="s">
        <v>124</v>
      </c>
      <c r="D375" t="s">
        <v>48</v>
      </c>
      <c r="G375" t="s">
        <v>115</v>
      </c>
      <c r="I375" s="18" t="e">
        <f>INDEX(M:M,MATCH(A374,O:O,0))</f>
        <v>#N/A</v>
      </c>
      <c r="J375" s="18" t="e">
        <f>INDEX(U:U,MATCH(A374,W:W,0))</f>
        <v>#N/A</v>
      </c>
      <c r="K375" s="19" t="s">
        <v>539</v>
      </c>
    </row>
    <row r="376" spans="1:11" x14ac:dyDescent="0.3">
      <c r="A376" t="s">
        <v>415</v>
      </c>
      <c r="B376" t="s">
        <v>549</v>
      </c>
      <c r="C376" t="s">
        <v>124</v>
      </c>
      <c r="D376" t="s">
        <v>48</v>
      </c>
      <c r="G376" t="s">
        <v>120</v>
      </c>
      <c r="I376" s="17" t="e">
        <f>INDEX(N:N,MATCH(A376,O:O,0))/100</f>
        <v>#N/A</v>
      </c>
      <c r="J376" s="17" t="e">
        <f>INDEX(V:V,MATCH(A376,W:W,0))/100</f>
        <v>#N/A</v>
      </c>
      <c r="K376" s="18" t="s">
        <v>545</v>
      </c>
    </row>
    <row r="377" spans="1:11" x14ac:dyDescent="0.3">
      <c r="A377" t="s">
        <v>415</v>
      </c>
      <c r="B377" t="s">
        <v>549</v>
      </c>
      <c r="C377" t="s">
        <v>124</v>
      </c>
      <c r="D377" t="s">
        <v>48</v>
      </c>
      <c r="G377" t="s">
        <v>120</v>
      </c>
      <c r="I377" s="18" t="e">
        <f>INDEX(M:M,MATCH(A376,O:O,0))</f>
        <v>#N/A</v>
      </c>
      <c r="J377" s="18" t="e">
        <f>INDEX(U:U,MATCH(A376,W:W,0))</f>
        <v>#N/A</v>
      </c>
      <c r="K377" s="19" t="s">
        <v>539</v>
      </c>
    </row>
    <row r="378" spans="1:11" x14ac:dyDescent="0.3">
      <c r="A378" t="s">
        <v>416</v>
      </c>
      <c r="B378" t="s">
        <v>549</v>
      </c>
      <c r="C378" t="s">
        <v>124</v>
      </c>
      <c r="D378" t="s">
        <v>48</v>
      </c>
      <c r="G378" t="s">
        <v>117</v>
      </c>
      <c r="I378" s="17" t="e">
        <f>INDEX(N:N,MATCH(A378,O:O,0))/100</f>
        <v>#N/A</v>
      </c>
      <c r="J378" s="17" t="e">
        <f>INDEX(V:V,MATCH(A378,W:W,0))/100</f>
        <v>#N/A</v>
      </c>
      <c r="K378" s="18" t="s">
        <v>545</v>
      </c>
    </row>
    <row r="379" spans="1:11" x14ac:dyDescent="0.3">
      <c r="A379" t="s">
        <v>416</v>
      </c>
      <c r="B379" t="s">
        <v>549</v>
      </c>
      <c r="C379" t="s">
        <v>124</v>
      </c>
      <c r="D379" t="s">
        <v>48</v>
      </c>
      <c r="G379" t="s">
        <v>117</v>
      </c>
      <c r="I379" s="18" t="e">
        <f>INDEX(M:M,MATCH(A378,O:O,0))</f>
        <v>#N/A</v>
      </c>
      <c r="J379" s="18" t="e">
        <f>INDEX(U:U,MATCH(A378,W:W,0))</f>
        <v>#N/A</v>
      </c>
      <c r="K379" s="19" t="s">
        <v>539</v>
      </c>
    </row>
    <row r="380" spans="1:11" x14ac:dyDescent="0.3">
      <c r="A380" t="s">
        <v>417</v>
      </c>
      <c r="B380" t="s">
        <v>549</v>
      </c>
      <c r="C380" t="s">
        <v>124</v>
      </c>
      <c r="D380" t="s">
        <v>49</v>
      </c>
      <c r="E380" t="s">
        <v>555</v>
      </c>
      <c r="I380" s="17" t="e">
        <f>INDEX(N:N,MATCH(A380,O:O,0))/100</f>
        <v>#N/A</v>
      </c>
      <c r="J380" s="17" t="e">
        <f>INDEX(V:V,MATCH(A380,W:W,0))/100</f>
        <v>#N/A</v>
      </c>
      <c r="K380" s="18" t="s">
        <v>545</v>
      </c>
    </row>
    <row r="381" spans="1:11" x14ac:dyDescent="0.3">
      <c r="A381" t="s">
        <v>417</v>
      </c>
      <c r="B381" t="s">
        <v>549</v>
      </c>
      <c r="C381" t="s">
        <v>124</v>
      </c>
      <c r="D381" t="s">
        <v>49</v>
      </c>
      <c r="E381" t="s">
        <v>555</v>
      </c>
      <c r="I381" s="18" t="e">
        <f>INDEX(M:M,MATCH(A380,O:O,0))</f>
        <v>#N/A</v>
      </c>
      <c r="J381" s="18" t="e">
        <f>INDEX(U:U,MATCH(A380,W:W,0))</f>
        <v>#N/A</v>
      </c>
      <c r="K381" s="19" t="s">
        <v>539</v>
      </c>
    </row>
    <row r="382" spans="1:11" x14ac:dyDescent="0.3">
      <c r="A382" t="s">
        <v>418</v>
      </c>
      <c r="B382" t="s">
        <v>549</v>
      </c>
      <c r="C382" t="s">
        <v>124</v>
      </c>
      <c r="D382" t="s">
        <v>49</v>
      </c>
      <c r="F382" t="s">
        <v>121</v>
      </c>
      <c r="I382" s="17" t="e">
        <f>INDEX(N:N,MATCH(A382,O:O,0))/100</f>
        <v>#N/A</v>
      </c>
      <c r="J382" s="17" t="e">
        <f>INDEX(V:V,MATCH(A382,W:W,0))/100</f>
        <v>#N/A</v>
      </c>
      <c r="K382" s="18" t="s">
        <v>545</v>
      </c>
    </row>
    <row r="383" spans="1:11" x14ac:dyDescent="0.3">
      <c r="A383" t="s">
        <v>418</v>
      </c>
      <c r="B383" t="s">
        <v>549</v>
      </c>
      <c r="C383" t="s">
        <v>124</v>
      </c>
      <c r="D383" t="s">
        <v>49</v>
      </c>
      <c r="F383" t="s">
        <v>121</v>
      </c>
      <c r="I383" s="18" t="e">
        <f>INDEX(M:M,MATCH(A382,O:O,0))</f>
        <v>#N/A</v>
      </c>
      <c r="J383" s="18" t="e">
        <f>INDEX(U:U,MATCH(A382,W:W,0))</f>
        <v>#N/A</v>
      </c>
      <c r="K383" s="19" t="s">
        <v>539</v>
      </c>
    </row>
    <row r="384" spans="1:11" x14ac:dyDescent="0.3">
      <c r="A384" t="s">
        <v>419</v>
      </c>
      <c r="B384" t="s">
        <v>549</v>
      </c>
      <c r="C384" t="s">
        <v>124</v>
      </c>
      <c r="D384" t="s">
        <v>49</v>
      </c>
      <c r="F384" t="s">
        <v>123</v>
      </c>
      <c r="I384" s="17" t="e">
        <f>INDEX(N:N,MATCH(A384,O:O,0))/100</f>
        <v>#N/A</v>
      </c>
      <c r="J384" s="17" t="e">
        <f>INDEX(V:V,MATCH(A384,W:W,0))/100</f>
        <v>#N/A</v>
      </c>
      <c r="K384" s="18" t="s">
        <v>545</v>
      </c>
    </row>
    <row r="385" spans="1:11" x14ac:dyDescent="0.3">
      <c r="A385" t="s">
        <v>419</v>
      </c>
      <c r="B385" t="s">
        <v>549</v>
      </c>
      <c r="C385" t="s">
        <v>124</v>
      </c>
      <c r="D385" t="s">
        <v>49</v>
      </c>
      <c r="F385" t="s">
        <v>123</v>
      </c>
      <c r="I385" s="18" t="e">
        <f>INDEX(M:M,MATCH(A384,O:O,0))</f>
        <v>#N/A</v>
      </c>
      <c r="J385" s="18" t="e">
        <f>INDEX(U:U,MATCH(A384,W:W,0))</f>
        <v>#N/A</v>
      </c>
      <c r="K385" s="19" t="s">
        <v>539</v>
      </c>
    </row>
    <row r="386" spans="1:11" x14ac:dyDescent="0.3">
      <c r="A386" t="s">
        <v>420</v>
      </c>
      <c r="B386" t="s">
        <v>549</v>
      </c>
      <c r="C386" t="s">
        <v>124</v>
      </c>
      <c r="D386" t="s">
        <v>49</v>
      </c>
      <c r="F386" t="s">
        <v>113</v>
      </c>
      <c r="I386" s="17" t="e">
        <f>INDEX(N:N,MATCH(A386,O:O,0))/100</f>
        <v>#N/A</v>
      </c>
      <c r="J386" s="17" t="e">
        <f>INDEX(V:V,MATCH(A386,W:W,0))/100</f>
        <v>#N/A</v>
      </c>
      <c r="K386" s="18" t="s">
        <v>545</v>
      </c>
    </row>
    <row r="387" spans="1:11" x14ac:dyDescent="0.3">
      <c r="A387" t="s">
        <v>420</v>
      </c>
      <c r="B387" t="s">
        <v>549</v>
      </c>
      <c r="C387" t="s">
        <v>124</v>
      </c>
      <c r="D387" t="s">
        <v>49</v>
      </c>
      <c r="F387" t="s">
        <v>113</v>
      </c>
      <c r="I387" s="18" t="e">
        <f>INDEX(M:M,MATCH(A386,O:O,0))</f>
        <v>#N/A</v>
      </c>
      <c r="J387" s="18" t="e">
        <f>INDEX(U:U,MATCH(A386,W:W,0))</f>
        <v>#N/A</v>
      </c>
      <c r="K387" s="19" t="s">
        <v>539</v>
      </c>
    </row>
    <row r="388" spans="1:11" x14ac:dyDescent="0.3">
      <c r="A388" t="s">
        <v>421</v>
      </c>
      <c r="B388" t="s">
        <v>549</v>
      </c>
      <c r="C388" t="s">
        <v>124</v>
      </c>
      <c r="D388" t="s">
        <v>49</v>
      </c>
      <c r="F388" t="s">
        <v>118</v>
      </c>
      <c r="I388" s="17" t="e">
        <f>INDEX(N:N,MATCH(A388,O:O,0))/100</f>
        <v>#N/A</v>
      </c>
      <c r="J388" s="17" t="e">
        <f>INDEX(V:V,MATCH(A388,W:W,0))/100</f>
        <v>#N/A</v>
      </c>
      <c r="K388" s="18" t="s">
        <v>545</v>
      </c>
    </row>
    <row r="389" spans="1:11" x14ac:dyDescent="0.3">
      <c r="A389" t="s">
        <v>421</v>
      </c>
      <c r="B389" t="s">
        <v>549</v>
      </c>
      <c r="C389" t="s">
        <v>124</v>
      </c>
      <c r="D389" t="s">
        <v>49</v>
      </c>
      <c r="F389" t="s">
        <v>118</v>
      </c>
      <c r="I389" s="18" t="e">
        <f>INDEX(M:M,MATCH(A388,O:O,0))</f>
        <v>#N/A</v>
      </c>
      <c r="J389" s="18" t="e">
        <f>INDEX(U:U,MATCH(A388,W:W,0))</f>
        <v>#N/A</v>
      </c>
      <c r="K389" s="19" t="s">
        <v>539</v>
      </c>
    </row>
    <row r="390" spans="1:11" x14ac:dyDescent="0.3">
      <c r="A390" t="s">
        <v>422</v>
      </c>
      <c r="B390" t="s">
        <v>549</v>
      </c>
      <c r="C390" t="s">
        <v>124</v>
      </c>
      <c r="D390" t="s">
        <v>49</v>
      </c>
      <c r="F390" t="s">
        <v>127</v>
      </c>
      <c r="I390" s="17" t="e">
        <f>INDEX(N:N,MATCH(A390,O:O,0))/100</f>
        <v>#N/A</v>
      </c>
      <c r="J390" s="17" t="e">
        <f>INDEX(V:V,MATCH(A390,W:W,0))/100</f>
        <v>#N/A</v>
      </c>
      <c r="K390" s="18" t="s">
        <v>545</v>
      </c>
    </row>
    <row r="391" spans="1:11" x14ac:dyDescent="0.3">
      <c r="A391" t="s">
        <v>422</v>
      </c>
      <c r="B391" t="s">
        <v>549</v>
      </c>
      <c r="C391" t="s">
        <v>124</v>
      </c>
      <c r="D391" t="s">
        <v>49</v>
      </c>
      <c r="F391" t="s">
        <v>127</v>
      </c>
      <c r="I391" s="18" t="e">
        <f>INDEX(M:M,MATCH(A390,O:O,0))</f>
        <v>#N/A</v>
      </c>
      <c r="J391" s="18" t="e">
        <f>INDEX(U:U,MATCH(A390,W:W,0))</f>
        <v>#N/A</v>
      </c>
      <c r="K391" s="19" t="s">
        <v>539</v>
      </c>
    </row>
    <row r="392" spans="1:11" x14ac:dyDescent="0.3">
      <c r="A392" t="s">
        <v>423</v>
      </c>
      <c r="B392" t="s">
        <v>549</v>
      </c>
      <c r="C392" t="s">
        <v>124</v>
      </c>
      <c r="D392" t="s">
        <v>49</v>
      </c>
      <c r="F392" t="s">
        <v>550</v>
      </c>
      <c r="I392" s="17" t="e">
        <f>INDEX(N:N,MATCH(A392,O:O,0))/100</f>
        <v>#N/A</v>
      </c>
      <c r="J392" s="17" t="e">
        <f>INDEX(V:V,MATCH(A392,W:W,0))/100</f>
        <v>#N/A</v>
      </c>
      <c r="K392" s="18" t="s">
        <v>545</v>
      </c>
    </row>
    <row r="393" spans="1:11" x14ac:dyDescent="0.3">
      <c r="A393" t="s">
        <v>423</v>
      </c>
      <c r="B393" t="s">
        <v>549</v>
      </c>
      <c r="C393" t="s">
        <v>124</v>
      </c>
      <c r="D393" t="s">
        <v>49</v>
      </c>
      <c r="F393" t="s">
        <v>550</v>
      </c>
      <c r="I393" s="18" t="e">
        <f>INDEX(M:M,MATCH(A392,O:O,0))</f>
        <v>#N/A</v>
      </c>
      <c r="J393" s="18" t="e">
        <f>INDEX(U:U,MATCH(A392,W:W,0))</f>
        <v>#N/A</v>
      </c>
      <c r="K393" s="19" t="s">
        <v>539</v>
      </c>
    </row>
    <row r="394" spans="1:11" x14ac:dyDescent="0.3">
      <c r="A394" t="s">
        <v>424</v>
      </c>
      <c r="B394" t="s">
        <v>549</v>
      </c>
      <c r="C394" t="s">
        <v>124</v>
      </c>
      <c r="D394" t="s">
        <v>49</v>
      </c>
      <c r="F394" t="s">
        <v>551</v>
      </c>
      <c r="H394" t="s">
        <v>552</v>
      </c>
      <c r="I394" s="17" t="e">
        <f>INDEX(N:N,MATCH(A394,O:O,0))/100</f>
        <v>#N/A</v>
      </c>
      <c r="J394" s="17" t="e">
        <f>INDEX(V:V,MATCH(A394,W:W,0))/100</f>
        <v>#N/A</v>
      </c>
      <c r="K394" s="18" t="s">
        <v>545</v>
      </c>
    </row>
    <row r="395" spans="1:11" x14ac:dyDescent="0.3">
      <c r="A395" t="s">
        <v>424</v>
      </c>
      <c r="B395" t="s">
        <v>549</v>
      </c>
      <c r="C395" t="s">
        <v>124</v>
      </c>
      <c r="D395" t="s">
        <v>49</v>
      </c>
      <c r="F395" t="s">
        <v>551</v>
      </c>
      <c r="H395" t="s">
        <v>552</v>
      </c>
      <c r="I395" s="18" t="e">
        <f>INDEX(M:M,MATCH(A394,O:O,0))</f>
        <v>#N/A</v>
      </c>
      <c r="J395" s="18" t="e">
        <f>INDEX(U:U,MATCH(A394,W:W,0))</f>
        <v>#N/A</v>
      </c>
      <c r="K395" s="19" t="s">
        <v>539</v>
      </c>
    </row>
    <row r="396" spans="1:11" x14ac:dyDescent="0.3">
      <c r="A396" t="s">
        <v>425</v>
      </c>
      <c r="B396" t="s">
        <v>549</v>
      </c>
      <c r="C396" t="s">
        <v>124</v>
      </c>
      <c r="D396" t="s">
        <v>49</v>
      </c>
      <c r="F396" t="s">
        <v>551</v>
      </c>
      <c r="H396" t="s">
        <v>553</v>
      </c>
      <c r="I396" s="17" t="e">
        <f>INDEX(N:N,MATCH(A396,O:O,0))/100</f>
        <v>#N/A</v>
      </c>
      <c r="J396" s="17" t="e">
        <f>INDEX(V:V,MATCH(A396,W:W,0))/100</f>
        <v>#N/A</v>
      </c>
      <c r="K396" s="18" t="s">
        <v>545</v>
      </c>
    </row>
    <row r="397" spans="1:11" x14ac:dyDescent="0.3">
      <c r="A397" t="s">
        <v>425</v>
      </c>
      <c r="B397" t="s">
        <v>549</v>
      </c>
      <c r="C397" t="s">
        <v>124</v>
      </c>
      <c r="D397" t="s">
        <v>49</v>
      </c>
      <c r="F397" t="s">
        <v>551</v>
      </c>
      <c r="H397" t="s">
        <v>553</v>
      </c>
      <c r="I397" s="18" t="e">
        <f>INDEX(M:M,MATCH(A396,O:O,0))</f>
        <v>#N/A</v>
      </c>
      <c r="J397" s="18" t="e">
        <f>INDEX(U:U,MATCH(A396,W:W,0))</f>
        <v>#N/A</v>
      </c>
      <c r="K397" s="19" t="s">
        <v>539</v>
      </c>
    </row>
    <row r="398" spans="1:11" x14ac:dyDescent="0.3">
      <c r="A398" t="s">
        <v>426</v>
      </c>
      <c r="B398" t="s">
        <v>549</v>
      </c>
      <c r="C398" t="s">
        <v>124</v>
      </c>
      <c r="D398" t="s">
        <v>49</v>
      </c>
      <c r="F398" t="s">
        <v>551</v>
      </c>
      <c r="H398" t="s">
        <v>554</v>
      </c>
      <c r="I398" s="17" t="e">
        <f>INDEX(N:N,MATCH(A398,O:O,0))/100</f>
        <v>#N/A</v>
      </c>
      <c r="J398" s="17" t="e">
        <f>INDEX(V:V,MATCH(A398,W:W,0))/100</f>
        <v>#N/A</v>
      </c>
      <c r="K398" s="18" t="s">
        <v>545</v>
      </c>
    </row>
    <row r="399" spans="1:11" x14ac:dyDescent="0.3">
      <c r="A399" t="s">
        <v>426</v>
      </c>
      <c r="B399" t="s">
        <v>549</v>
      </c>
      <c r="C399" t="s">
        <v>124</v>
      </c>
      <c r="D399" t="s">
        <v>49</v>
      </c>
      <c r="F399" t="s">
        <v>551</v>
      </c>
      <c r="H399" t="s">
        <v>554</v>
      </c>
      <c r="I399" s="18" t="e">
        <f>INDEX(M:M,MATCH(A398,O:O,0))</f>
        <v>#N/A</v>
      </c>
      <c r="J399" s="18" t="e">
        <f>INDEX(U:U,MATCH(A398,W:W,0))</f>
        <v>#N/A</v>
      </c>
      <c r="K399" s="19" t="s">
        <v>539</v>
      </c>
    </row>
    <row r="400" spans="1:11" x14ac:dyDescent="0.3">
      <c r="A400" t="s">
        <v>427</v>
      </c>
      <c r="B400" t="s">
        <v>549</v>
      </c>
      <c r="C400" t="s">
        <v>124</v>
      </c>
      <c r="D400" t="s">
        <v>49</v>
      </c>
      <c r="G400" t="s">
        <v>115</v>
      </c>
      <c r="I400" s="17" t="e">
        <f>INDEX(N:N,MATCH(A400,O:O,0))/100</f>
        <v>#N/A</v>
      </c>
      <c r="J400" s="17" t="e">
        <f>INDEX(V:V,MATCH(A400,W:W,0))/100</f>
        <v>#N/A</v>
      </c>
      <c r="K400" s="18" t="s">
        <v>545</v>
      </c>
    </row>
    <row r="401" spans="1:11" x14ac:dyDescent="0.3">
      <c r="A401" t="s">
        <v>427</v>
      </c>
      <c r="B401" t="s">
        <v>549</v>
      </c>
      <c r="C401" t="s">
        <v>124</v>
      </c>
      <c r="D401" t="s">
        <v>49</v>
      </c>
      <c r="G401" t="s">
        <v>115</v>
      </c>
      <c r="I401" s="18" t="e">
        <f>INDEX(M:M,MATCH(A400,O:O,0))</f>
        <v>#N/A</v>
      </c>
      <c r="J401" s="18" t="e">
        <f>INDEX(U:U,MATCH(A400,W:W,0))</f>
        <v>#N/A</v>
      </c>
      <c r="K401" s="19" t="s">
        <v>539</v>
      </c>
    </row>
    <row r="402" spans="1:11" x14ac:dyDescent="0.3">
      <c r="A402" t="s">
        <v>428</v>
      </c>
      <c r="B402" t="s">
        <v>549</v>
      </c>
      <c r="C402" t="s">
        <v>124</v>
      </c>
      <c r="D402" t="s">
        <v>49</v>
      </c>
      <c r="G402" t="s">
        <v>120</v>
      </c>
      <c r="I402" s="17" t="e">
        <f>INDEX(N:N,MATCH(A402,O:O,0))/100</f>
        <v>#N/A</v>
      </c>
      <c r="J402" s="17" t="e">
        <f>INDEX(V:V,MATCH(A402,W:W,0))/100</f>
        <v>#N/A</v>
      </c>
      <c r="K402" s="18" t="s">
        <v>545</v>
      </c>
    </row>
    <row r="403" spans="1:11" x14ac:dyDescent="0.3">
      <c r="A403" t="s">
        <v>428</v>
      </c>
      <c r="B403" t="s">
        <v>549</v>
      </c>
      <c r="C403" t="s">
        <v>124</v>
      </c>
      <c r="D403" t="s">
        <v>49</v>
      </c>
      <c r="G403" t="s">
        <v>120</v>
      </c>
      <c r="I403" s="18" t="e">
        <f>INDEX(M:M,MATCH(A402,O:O,0))</f>
        <v>#N/A</v>
      </c>
      <c r="J403" s="18" t="e">
        <f>INDEX(U:U,MATCH(A402,W:W,0))</f>
        <v>#N/A</v>
      </c>
      <c r="K403" s="19" t="s">
        <v>539</v>
      </c>
    </row>
    <row r="404" spans="1:11" x14ac:dyDescent="0.3">
      <c r="A404" t="s">
        <v>429</v>
      </c>
      <c r="B404" t="s">
        <v>549</v>
      </c>
      <c r="C404" t="s">
        <v>124</v>
      </c>
      <c r="D404" t="s">
        <v>49</v>
      </c>
      <c r="G404" t="s">
        <v>117</v>
      </c>
      <c r="I404" s="17" t="e">
        <f>INDEX(N:N,MATCH(A404,O:O,0))/100</f>
        <v>#N/A</v>
      </c>
      <c r="J404" s="17" t="e">
        <f>INDEX(V:V,MATCH(A404,W:W,0))/100</f>
        <v>#N/A</v>
      </c>
      <c r="K404" s="18" t="s">
        <v>545</v>
      </c>
    </row>
    <row r="405" spans="1:11" x14ac:dyDescent="0.3">
      <c r="A405" t="s">
        <v>429</v>
      </c>
      <c r="B405" t="s">
        <v>549</v>
      </c>
      <c r="C405" t="s">
        <v>124</v>
      </c>
      <c r="D405" t="s">
        <v>49</v>
      </c>
      <c r="G405" t="s">
        <v>117</v>
      </c>
      <c r="I405" s="18" t="e">
        <f>INDEX(M:M,MATCH(A404,O:O,0))</f>
        <v>#N/A</v>
      </c>
      <c r="J405" s="18" t="e">
        <f>INDEX(U:U,MATCH(A404,W:W,0))</f>
        <v>#N/A</v>
      </c>
      <c r="K405" s="19" t="s">
        <v>539</v>
      </c>
    </row>
    <row r="406" spans="1:11" x14ac:dyDescent="0.3">
      <c r="A406" t="s">
        <v>430</v>
      </c>
      <c r="B406" t="s">
        <v>549</v>
      </c>
      <c r="C406" t="s">
        <v>124</v>
      </c>
      <c r="D406" t="s">
        <v>51</v>
      </c>
      <c r="E406" t="s">
        <v>555</v>
      </c>
      <c r="I406" s="17" t="e">
        <f>INDEX(N:N,MATCH(A406,O:O,0))/100</f>
        <v>#N/A</v>
      </c>
      <c r="J406" s="17" t="e">
        <f>INDEX(V:V,MATCH(A406,W:W,0))/100</f>
        <v>#N/A</v>
      </c>
      <c r="K406" s="18" t="s">
        <v>545</v>
      </c>
    </row>
    <row r="407" spans="1:11" x14ac:dyDescent="0.3">
      <c r="A407" t="s">
        <v>430</v>
      </c>
      <c r="B407" t="s">
        <v>549</v>
      </c>
      <c r="C407" t="s">
        <v>124</v>
      </c>
      <c r="D407" t="s">
        <v>51</v>
      </c>
      <c r="E407" t="s">
        <v>555</v>
      </c>
      <c r="I407" s="18" t="e">
        <f>INDEX(M:M,MATCH(A406,O:O,0))</f>
        <v>#N/A</v>
      </c>
      <c r="J407" s="18" t="e">
        <f>INDEX(U:U,MATCH(A406,W:W,0))</f>
        <v>#N/A</v>
      </c>
      <c r="K407" s="19" t="s">
        <v>539</v>
      </c>
    </row>
    <row r="408" spans="1:11" x14ac:dyDescent="0.3">
      <c r="A408" t="s">
        <v>431</v>
      </c>
      <c r="B408" t="s">
        <v>549</v>
      </c>
      <c r="C408" t="s">
        <v>124</v>
      </c>
      <c r="D408" t="s">
        <v>51</v>
      </c>
      <c r="F408" t="s">
        <v>121</v>
      </c>
      <c r="I408" s="17" t="e">
        <f>INDEX(N:N,MATCH(A408,O:O,0))/100</f>
        <v>#N/A</v>
      </c>
      <c r="J408" s="17" t="e">
        <f>INDEX(V:V,MATCH(A408,W:W,0))/100</f>
        <v>#N/A</v>
      </c>
      <c r="K408" s="18" t="s">
        <v>545</v>
      </c>
    </row>
    <row r="409" spans="1:11" x14ac:dyDescent="0.3">
      <c r="A409" t="s">
        <v>431</v>
      </c>
      <c r="B409" t="s">
        <v>549</v>
      </c>
      <c r="C409" t="s">
        <v>124</v>
      </c>
      <c r="D409" t="s">
        <v>51</v>
      </c>
      <c r="F409" t="s">
        <v>121</v>
      </c>
      <c r="I409" s="18" t="e">
        <f>INDEX(M:M,MATCH(A408,O:O,0))</f>
        <v>#N/A</v>
      </c>
      <c r="J409" s="18" t="e">
        <f>INDEX(U:U,MATCH(A408,W:W,0))</f>
        <v>#N/A</v>
      </c>
      <c r="K409" s="19" t="s">
        <v>539</v>
      </c>
    </row>
    <row r="410" spans="1:11" x14ac:dyDescent="0.3">
      <c r="A410" t="s">
        <v>432</v>
      </c>
      <c r="B410" t="s">
        <v>549</v>
      </c>
      <c r="C410" t="s">
        <v>124</v>
      </c>
      <c r="D410" t="s">
        <v>51</v>
      </c>
      <c r="F410" t="s">
        <v>123</v>
      </c>
      <c r="I410" s="17" t="e">
        <f>INDEX(N:N,MATCH(A410,O:O,0))/100</f>
        <v>#N/A</v>
      </c>
      <c r="J410" s="17" t="e">
        <f>INDEX(V:V,MATCH(A410,W:W,0))/100</f>
        <v>#N/A</v>
      </c>
      <c r="K410" s="18" t="s">
        <v>545</v>
      </c>
    </row>
    <row r="411" spans="1:11" x14ac:dyDescent="0.3">
      <c r="A411" t="s">
        <v>432</v>
      </c>
      <c r="B411" t="s">
        <v>549</v>
      </c>
      <c r="C411" t="s">
        <v>124</v>
      </c>
      <c r="D411" t="s">
        <v>51</v>
      </c>
      <c r="F411" t="s">
        <v>123</v>
      </c>
      <c r="I411" s="18" t="e">
        <f>INDEX(M:M,MATCH(A410,O:O,0))</f>
        <v>#N/A</v>
      </c>
      <c r="J411" s="18" t="e">
        <f>INDEX(U:U,MATCH(A410,W:W,0))</f>
        <v>#N/A</v>
      </c>
      <c r="K411" s="19" t="s">
        <v>539</v>
      </c>
    </row>
    <row r="412" spans="1:11" x14ac:dyDescent="0.3">
      <c r="A412" t="s">
        <v>433</v>
      </c>
      <c r="B412" t="s">
        <v>549</v>
      </c>
      <c r="C412" t="s">
        <v>124</v>
      </c>
      <c r="D412" t="s">
        <v>51</v>
      </c>
      <c r="F412" t="s">
        <v>113</v>
      </c>
      <c r="I412" s="17" t="e">
        <f>INDEX(N:N,MATCH(A412,O:O,0))/100</f>
        <v>#N/A</v>
      </c>
      <c r="J412" s="17" t="e">
        <f>INDEX(V:V,MATCH(A412,W:W,0))/100</f>
        <v>#N/A</v>
      </c>
      <c r="K412" s="18" t="s">
        <v>545</v>
      </c>
    </row>
    <row r="413" spans="1:11" x14ac:dyDescent="0.3">
      <c r="A413" t="s">
        <v>433</v>
      </c>
      <c r="B413" t="s">
        <v>549</v>
      </c>
      <c r="C413" t="s">
        <v>124</v>
      </c>
      <c r="D413" t="s">
        <v>51</v>
      </c>
      <c r="F413" t="s">
        <v>113</v>
      </c>
      <c r="I413" s="18" t="e">
        <f>INDEX(M:M,MATCH(A412,O:O,0))</f>
        <v>#N/A</v>
      </c>
      <c r="J413" s="18" t="e">
        <f>INDEX(U:U,MATCH(A412,W:W,0))</f>
        <v>#N/A</v>
      </c>
      <c r="K413" s="19" t="s">
        <v>539</v>
      </c>
    </row>
    <row r="414" spans="1:11" x14ac:dyDescent="0.3">
      <c r="A414" t="s">
        <v>434</v>
      </c>
      <c r="B414" t="s">
        <v>549</v>
      </c>
      <c r="C414" t="s">
        <v>124</v>
      </c>
      <c r="D414" t="s">
        <v>51</v>
      </c>
      <c r="F414" t="s">
        <v>118</v>
      </c>
      <c r="I414" s="17" t="e">
        <f>INDEX(N:N,MATCH(A414,O:O,0))/100</f>
        <v>#N/A</v>
      </c>
      <c r="J414" s="17" t="e">
        <f>INDEX(V:V,MATCH(A414,W:W,0))/100</f>
        <v>#N/A</v>
      </c>
      <c r="K414" s="18" t="s">
        <v>545</v>
      </c>
    </row>
    <row r="415" spans="1:11" x14ac:dyDescent="0.3">
      <c r="A415" t="s">
        <v>434</v>
      </c>
      <c r="B415" t="s">
        <v>549</v>
      </c>
      <c r="C415" t="s">
        <v>124</v>
      </c>
      <c r="D415" t="s">
        <v>51</v>
      </c>
      <c r="F415" t="s">
        <v>118</v>
      </c>
      <c r="I415" s="18" t="e">
        <f>INDEX(M:M,MATCH(A414,O:O,0))</f>
        <v>#N/A</v>
      </c>
      <c r="J415" s="18" t="e">
        <f>INDEX(U:U,MATCH(A414,W:W,0))</f>
        <v>#N/A</v>
      </c>
      <c r="K415" s="19" t="s">
        <v>539</v>
      </c>
    </row>
    <row r="416" spans="1:11" x14ac:dyDescent="0.3">
      <c r="A416" t="s">
        <v>435</v>
      </c>
      <c r="B416" t="s">
        <v>549</v>
      </c>
      <c r="C416" t="s">
        <v>124</v>
      </c>
      <c r="D416" t="s">
        <v>51</v>
      </c>
      <c r="F416" t="s">
        <v>127</v>
      </c>
      <c r="I416" s="17" t="e">
        <f>INDEX(N:N,MATCH(A416,O:O,0))/100</f>
        <v>#N/A</v>
      </c>
      <c r="J416" s="17" t="e">
        <f>INDEX(V:V,MATCH(A416,W:W,0))/100</f>
        <v>#N/A</v>
      </c>
      <c r="K416" s="18" t="s">
        <v>545</v>
      </c>
    </row>
    <row r="417" spans="1:11" x14ac:dyDescent="0.3">
      <c r="A417" t="s">
        <v>435</v>
      </c>
      <c r="B417" t="s">
        <v>549</v>
      </c>
      <c r="C417" t="s">
        <v>124</v>
      </c>
      <c r="D417" t="s">
        <v>51</v>
      </c>
      <c r="F417" t="s">
        <v>127</v>
      </c>
      <c r="I417" s="18" t="e">
        <f>INDEX(M:M,MATCH(A416,O:O,0))</f>
        <v>#N/A</v>
      </c>
      <c r="J417" s="18" t="e">
        <f>INDEX(U:U,MATCH(A416,W:W,0))</f>
        <v>#N/A</v>
      </c>
      <c r="K417" s="19" t="s">
        <v>539</v>
      </c>
    </row>
    <row r="418" spans="1:11" x14ac:dyDescent="0.3">
      <c r="A418" t="s">
        <v>436</v>
      </c>
      <c r="B418" t="s">
        <v>549</v>
      </c>
      <c r="C418" t="s">
        <v>124</v>
      </c>
      <c r="D418" t="s">
        <v>51</v>
      </c>
      <c r="F418" t="s">
        <v>550</v>
      </c>
      <c r="I418" s="17" t="e">
        <f>INDEX(N:N,MATCH(A418,O:O,0))/100</f>
        <v>#N/A</v>
      </c>
      <c r="J418" s="17" t="e">
        <f>INDEX(V:V,MATCH(A418,W:W,0))/100</f>
        <v>#N/A</v>
      </c>
      <c r="K418" s="18" t="s">
        <v>545</v>
      </c>
    </row>
    <row r="419" spans="1:11" x14ac:dyDescent="0.3">
      <c r="A419" t="s">
        <v>436</v>
      </c>
      <c r="B419" t="s">
        <v>549</v>
      </c>
      <c r="C419" t="s">
        <v>124</v>
      </c>
      <c r="D419" t="s">
        <v>51</v>
      </c>
      <c r="F419" t="s">
        <v>550</v>
      </c>
      <c r="I419" s="18" t="e">
        <f>INDEX(M:M,MATCH(A418,O:O,0))</f>
        <v>#N/A</v>
      </c>
      <c r="J419" s="18" t="e">
        <f>INDEX(U:U,MATCH(A418,W:W,0))</f>
        <v>#N/A</v>
      </c>
      <c r="K419" s="19" t="s">
        <v>539</v>
      </c>
    </row>
    <row r="420" spans="1:11" x14ac:dyDescent="0.3">
      <c r="A420" t="s">
        <v>437</v>
      </c>
      <c r="B420" t="s">
        <v>549</v>
      </c>
      <c r="C420" t="s">
        <v>124</v>
      </c>
      <c r="D420" t="s">
        <v>51</v>
      </c>
      <c r="F420" t="s">
        <v>551</v>
      </c>
      <c r="H420" t="s">
        <v>552</v>
      </c>
      <c r="I420" s="17" t="e">
        <f>INDEX(N:N,MATCH(A420,O:O,0))/100</f>
        <v>#N/A</v>
      </c>
      <c r="J420" s="17" t="e">
        <f>INDEX(V:V,MATCH(A420,W:W,0))/100</f>
        <v>#N/A</v>
      </c>
      <c r="K420" s="18" t="s">
        <v>545</v>
      </c>
    </row>
    <row r="421" spans="1:11" x14ac:dyDescent="0.3">
      <c r="A421" t="s">
        <v>437</v>
      </c>
      <c r="B421" t="s">
        <v>549</v>
      </c>
      <c r="C421" t="s">
        <v>124</v>
      </c>
      <c r="D421" t="s">
        <v>51</v>
      </c>
      <c r="F421" t="s">
        <v>551</v>
      </c>
      <c r="H421" t="s">
        <v>552</v>
      </c>
      <c r="I421" s="18" t="e">
        <f>INDEX(M:M,MATCH(A420,O:O,0))</f>
        <v>#N/A</v>
      </c>
      <c r="J421" s="18" t="e">
        <f>INDEX(U:U,MATCH(A420,W:W,0))</f>
        <v>#N/A</v>
      </c>
      <c r="K421" s="19" t="s">
        <v>539</v>
      </c>
    </row>
    <row r="422" spans="1:11" x14ac:dyDescent="0.3">
      <c r="A422" t="s">
        <v>438</v>
      </c>
      <c r="B422" t="s">
        <v>549</v>
      </c>
      <c r="C422" t="s">
        <v>124</v>
      </c>
      <c r="D422" t="s">
        <v>51</v>
      </c>
      <c r="F422" t="s">
        <v>551</v>
      </c>
      <c r="H422" t="s">
        <v>553</v>
      </c>
      <c r="I422" s="17" t="e">
        <f>INDEX(N:N,MATCH(A422,O:O,0))/100</f>
        <v>#N/A</v>
      </c>
      <c r="J422" s="17" t="e">
        <f>INDEX(V:V,MATCH(A422,W:W,0))/100</f>
        <v>#N/A</v>
      </c>
      <c r="K422" s="18" t="s">
        <v>545</v>
      </c>
    </row>
    <row r="423" spans="1:11" x14ac:dyDescent="0.3">
      <c r="A423" t="s">
        <v>438</v>
      </c>
      <c r="B423" t="s">
        <v>549</v>
      </c>
      <c r="C423" t="s">
        <v>124</v>
      </c>
      <c r="D423" t="s">
        <v>51</v>
      </c>
      <c r="F423" t="s">
        <v>551</v>
      </c>
      <c r="H423" t="s">
        <v>553</v>
      </c>
      <c r="I423" s="18" t="e">
        <f>INDEX(M:M,MATCH(A422,O:O,0))</f>
        <v>#N/A</v>
      </c>
      <c r="J423" s="18" t="e">
        <f>INDEX(U:U,MATCH(A422,W:W,0))</f>
        <v>#N/A</v>
      </c>
      <c r="K423" s="19" t="s">
        <v>539</v>
      </c>
    </row>
    <row r="424" spans="1:11" x14ac:dyDescent="0.3">
      <c r="A424" t="s">
        <v>439</v>
      </c>
      <c r="B424" t="s">
        <v>549</v>
      </c>
      <c r="C424" t="s">
        <v>124</v>
      </c>
      <c r="D424" t="s">
        <v>51</v>
      </c>
      <c r="F424" t="s">
        <v>551</v>
      </c>
      <c r="H424" t="s">
        <v>554</v>
      </c>
      <c r="I424" s="17" t="e">
        <f>INDEX(N:N,MATCH(A424,O:O,0))/100</f>
        <v>#N/A</v>
      </c>
      <c r="J424" s="17" t="e">
        <f>INDEX(V:V,MATCH(A424,W:W,0))/100</f>
        <v>#N/A</v>
      </c>
      <c r="K424" s="18" t="s">
        <v>545</v>
      </c>
    </row>
    <row r="425" spans="1:11" x14ac:dyDescent="0.3">
      <c r="A425" t="s">
        <v>439</v>
      </c>
      <c r="B425" t="s">
        <v>549</v>
      </c>
      <c r="C425" t="s">
        <v>124</v>
      </c>
      <c r="D425" t="s">
        <v>51</v>
      </c>
      <c r="F425" t="s">
        <v>551</v>
      </c>
      <c r="H425" t="s">
        <v>554</v>
      </c>
      <c r="I425" s="18" t="e">
        <f>INDEX(M:M,MATCH(A424,O:O,0))</f>
        <v>#N/A</v>
      </c>
      <c r="J425" s="18" t="e">
        <f>INDEX(U:U,MATCH(A424,W:W,0))</f>
        <v>#N/A</v>
      </c>
      <c r="K425" s="19" t="s">
        <v>539</v>
      </c>
    </row>
    <row r="426" spans="1:11" x14ac:dyDescent="0.3">
      <c r="A426" t="s">
        <v>440</v>
      </c>
      <c r="B426" t="s">
        <v>549</v>
      </c>
      <c r="C426" t="s">
        <v>124</v>
      </c>
      <c r="D426" t="s">
        <v>51</v>
      </c>
      <c r="G426" t="s">
        <v>115</v>
      </c>
      <c r="I426" s="17" t="e">
        <f>INDEX(N:N,MATCH(A426,O:O,0))/100</f>
        <v>#N/A</v>
      </c>
      <c r="J426" s="17" t="e">
        <f>INDEX(V:V,MATCH(A426,W:W,0))/100</f>
        <v>#N/A</v>
      </c>
      <c r="K426" s="18" t="s">
        <v>545</v>
      </c>
    </row>
    <row r="427" spans="1:11" x14ac:dyDescent="0.3">
      <c r="A427" t="s">
        <v>440</v>
      </c>
      <c r="B427" t="s">
        <v>549</v>
      </c>
      <c r="C427" t="s">
        <v>124</v>
      </c>
      <c r="D427" t="s">
        <v>51</v>
      </c>
      <c r="G427" t="s">
        <v>115</v>
      </c>
      <c r="I427" s="18" t="e">
        <f>INDEX(M:M,MATCH(A426,O:O,0))</f>
        <v>#N/A</v>
      </c>
      <c r="J427" s="18" t="e">
        <f>INDEX(U:U,MATCH(A426,W:W,0))</f>
        <v>#N/A</v>
      </c>
      <c r="K427" s="19" t="s">
        <v>539</v>
      </c>
    </row>
    <row r="428" spans="1:11" x14ac:dyDescent="0.3">
      <c r="A428" t="s">
        <v>441</v>
      </c>
      <c r="B428" t="s">
        <v>549</v>
      </c>
      <c r="C428" t="s">
        <v>124</v>
      </c>
      <c r="D428" t="s">
        <v>51</v>
      </c>
      <c r="G428" t="s">
        <v>120</v>
      </c>
      <c r="I428" s="17" t="e">
        <f>INDEX(N:N,MATCH(A428,O:O,0))/100</f>
        <v>#N/A</v>
      </c>
      <c r="J428" s="17" t="e">
        <f>INDEX(V:V,MATCH(A428,W:W,0))/100</f>
        <v>#N/A</v>
      </c>
      <c r="K428" s="18" t="s">
        <v>545</v>
      </c>
    </row>
    <row r="429" spans="1:11" x14ac:dyDescent="0.3">
      <c r="A429" t="s">
        <v>441</v>
      </c>
      <c r="B429" t="s">
        <v>549</v>
      </c>
      <c r="C429" t="s">
        <v>124</v>
      </c>
      <c r="D429" t="s">
        <v>51</v>
      </c>
      <c r="G429" t="s">
        <v>120</v>
      </c>
      <c r="I429" s="18" t="e">
        <f>INDEX(M:M,MATCH(A428,O:O,0))</f>
        <v>#N/A</v>
      </c>
      <c r="J429" s="18" t="e">
        <f>INDEX(U:U,MATCH(A428,W:W,0))</f>
        <v>#N/A</v>
      </c>
      <c r="K429" s="19" t="s">
        <v>539</v>
      </c>
    </row>
    <row r="430" spans="1:11" x14ac:dyDescent="0.3">
      <c r="A430" t="s">
        <v>442</v>
      </c>
      <c r="B430" t="s">
        <v>549</v>
      </c>
      <c r="C430" t="s">
        <v>124</v>
      </c>
      <c r="D430" t="s">
        <v>51</v>
      </c>
      <c r="G430" t="s">
        <v>117</v>
      </c>
      <c r="I430" s="17" t="e">
        <f>INDEX(N:N,MATCH(A430,O:O,0))/100</f>
        <v>#N/A</v>
      </c>
      <c r="J430" s="17" t="e">
        <f>INDEX(V:V,MATCH(A430,W:W,0))/100</f>
        <v>#N/A</v>
      </c>
      <c r="K430" s="18" t="s">
        <v>545</v>
      </c>
    </row>
    <row r="431" spans="1:11" x14ac:dyDescent="0.3">
      <c r="A431" t="s">
        <v>442</v>
      </c>
      <c r="B431" t="s">
        <v>549</v>
      </c>
      <c r="C431" t="s">
        <v>124</v>
      </c>
      <c r="D431" t="s">
        <v>51</v>
      </c>
      <c r="G431" t="s">
        <v>117</v>
      </c>
      <c r="I431" s="18" t="e">
        <f>INDEX(M:M,MATCH(A430,O:O,0))</f>
        <v>#N/A</v>
      </c>
      <c r="J431" s="18" t="e">
        <f>INDEX(U:U,MATCH(A430,W:W,0))</f>
        <v>#N/A</v>
      </c>
      <c r="K431" s="19" t="s">
        <v>539</v>
      </c>
    </row>
    <row r="432" spans="1:11" x14ac:dyDescent="0.3">
      <c r="A432" t="s">
        <v>443</v>
      </c>
      <c r="B432" t="s">
        <v>549</v>
      </c>
      <c r="C432" t="s">
        <v>124</v>
      </c>
      <c r="D432" t="s">
        <v>52</v>
      </c>
      <c r="E432" t="s">
        <v>555</v>
      </c>
      <c r="I432" s="17" t="e">
        <f>INDEX(N:N,MATCH(A432,O:O,0))/100</f>
        <v>#N/A</v>
      </c>
      <c r="J432" s="17" t="e">
        <f>INDEX(V:V,MATCH(A432,W:W,0))/100</f>
        <v>#N/A</v>
      </c>
      <c r="K432" s="18" t="s">
        <v>545</v>
      </c>
    </row>
    <row r="433" spans="1:11" x14ac:dyDescent="0.3">
      <c r="A433" t="s">
        <v>443</v>
      </c>
      <c r="B433" t="s">
        <v>549</v>
      </c>
      <c r="C433" t="s">
        <v>124</v>
      </c>
      <c r="D433" t="s">
        <v>52</v>
      </c>
      <c r="E433" t="s">
        <v>555</v>
      </c>
      <c r="I433" s="18" t="e">
        <f>INDEX(M:M,MATCH(A432,O:O,0))</f>
        <v>#N/A</v>
      </c>
      <c r="J433" s="18" t="e">
        <f>INDEX(U:U,MATCH(A432,W:W,0))</f>
        <v>#N/A</v>
      </c>
      <c r="K433" s="19" t="s">
        <v>539</v>
      </c>
    </row>
    <row r="434" spans="1:11" x14ac:dyDescent="0.3">
      <c r="A434" t="s">
        <v>444</v>
      </c>
      <c r="B434" t="s">
        <v>549</v>
      </c>
      <c r="C434" t="s">
        <v>124</v>
      </c>
      <c r="D434" t="s">
        <v>52</v>
      </c>
      <c r="F434" t="s">
        <v>121</v>
      </c>
      <c r="I434" s="17" t="e">
        <f>INDEX(N:N,MATCH(A434,O:O,0))/100</f>
        <v>#N/A</v>
      </c>
      <c r="J434" s="17" t="e">
        <f>INDEX(V:V,MATCH(A434,W:W,0))/100</f>
        <v>#N/A</v>
      </c>
      <c r="K434" s="18" t="s">
        <v>545</v>
      </c>
    </row>
    <row r="435" spans="1:11" x14ac:dyDescent="0.3">
      <c r="A435" t="s">
        <v>444</v>
      </c>
      <c r="B435" t="s">
        <v>549</v>
      </c>
      <c r="C435" t="s">
        <v>124</v>
      </c>
      <c r="D435" t="s">
        <v>52</v>
      </c>
      <c r="F435" t="s">
        <v>121</v>
      </c>
      <c r="I435" s="18" t="e">
        <f>INDEX(M:M,MATCH(A434,O:O,0))</f>
        <v>#N/A</v>
      </c>
      <c r="J435" s="18" t="e">
        <f>INDEX(U:U,MATCH(A434,W:W,0))</f>
        <v>#N/A</v>
      </c>
      <c r="K435" s="19" t="s">
        <v>539</v>
      </c>
    </row>
    <row r="436" spans="1:11" x14ac:dyDescent="0.3">
      <c r="A436" t="s">
        <v>445</v>
      </c>
      <c r="B436" t="s">
        <v>549</v>
      </c>
      <c r="C436" t="s">
        <v>124</v>
      </c>
      <c r="D436" t="s">
        <v>52</v>
      </c>
      <c r="F436" t="s">
        <v>123</v>
      </c>
      <c r="I436" s="17" t="e">
        <f>INDEX(N:N,MATCH(A436,O:O,0))/100</f>
        <v>#N/A</v>
      </c>
      <c r="J436" s="17" t="e">
        <f>INDEX(V:V,MATCH(A436,W:W,0))/100</f>
        <v>#N/A</v>
      </c>
      <c r="K436" s="18" t="s">
        <v>545</v>
      </c>
    </row>
    <row r="437" spans="1:11" x14ac:dyDescent="0.3">
      <c r="A437" t="s">
        <v>445</v>
      </c>
      <c r="B437" t="s">
        <v>549</v>
      </c>
      <c r="C437" t="s">
        <v>124</v>
      </c>
      <c r="D437" t="s">
        <v>52</v>
      </c>
      <c r="F437" t="s">
        <v>123</v>
      </c>
      <c r="I437" s="18" t="e">
        <f>INDEX(M:M,MATCH(A436,O:O,0))</f>
        <v>#N/A</v>
      </c>
      <c r="J437" s="18" t="e">
        <f>INDEX(U:U,MATCH(A436,W:W,0))</f>
        <v>#N/A</v>
      </c>
      <c r="K437" s="19" t="s">
        <v>539</v>
      </c>
    </row>
    <row r="438" spans="1:11" x14ac:dyDescent="0.3">
      <c r="A438" t="s">
        <v>446</v>
      </c>
      <c r="B438" t="s">
        <v>549</v>
      </c>
      <c r="C438" t="s">
        <v>124</v>
      </c>
      <c r="D438" t="s">
        <v>52</v>
      </c>
      <c r="F438" t="s">
        <v>113</v>
      </c>
      <c r="I438" s="17" t="e">
        <f>INDEX(N:N,MATCH(A438,O:O,0))/100</f>
        <v>#N/A</v>
      </c>
      <c r="J438" s="17" t="e">
        <f>INDEX(V:V,MATCH(A438,W:W,0))/100</f>
        <v>#N/A</v>
      </c>
      <c r="K438" s="18" t="s">
        <v>545</v>
      </c>
    </row>
    <row r="439" spans="1:11" x14ac:dyDescent="0.3">
      <c r="A439" t="s">
        <v>446</v>
      </c>
      <c r="B439" t="s">
        <v>549</v>
      </c>
      <c r="C439" t="s">
        <v>124</v>
      </c>
      <c r="D439" t="s">
        <v>52</v>
      </c>
      <c r="F439" t="s">
        <v>113</v>
      </c>
      <c r="I439" s="18" t="e">
        <f>INDEX(M:M,MATCH(A438,O:O,0))</f>
        <v>#N/A</v>
      </c>
      <c r="J439" s="18" t="e">
        <f>INDEX(U:U,MATCH(A438,W:W,0))</f>
        <v>#N/A</v>
      </c>
      <c r="K439" s="19" t="s">
        <v>539</v>
      </c>
    </row>
    <row r="440" spans="1:11" x14ac:dyDescent="0.3">
      <c r="A440" t="s">
        <v>447</v>
      </c>
      <c r="B440" t="s">
        <v>549</v>
      </c>
      <c r="C440" t="s">
        <v>124</v>
      </c>
      <c r="D440" t="s">
        <v>52</v>
      </c>
      <c r="F440" t="s">
        <v>118</v>
      </c>
      <c r="I440" s="17" t="e">
        <f>INDEX(N:N,MATCH(A440,O:O,0))/100</f>
        <v>#N/A</v>
      </c>
      <c r="J440" s="17" t="e">
        <f>INDEX(V:V,MATCH(A440,W:W,0))/100</f>
        <v>#N/A</v>
      </c>
      <c r="K440" s="18" t="s">
        <v>545</v>
      </c>
    </row>
    <row r="441" spans="1:11" x14ac:dyDescent="0.3">
      <c r="A441" t="s">
        <v>447</v>
      </c>
      <c r="B441" t="s">
        <v>549</v>
      </c>
      <c r="C441" t="s">
        <v>124</v>
      </c>
      <c r="D441" t="s">
        <v>52</v>
      </c>
      <c r="F441" t="s">
        <v>118</v>
      </c>
      <c r="I441" s="18" t="e">
        <f>INDEX(M:M,MATCH(A440,O:O,0))</f>
        <v>#N/A</v>
      </c>
      <c r="J441" s="18" t="e">
        <f>INDEX(U:U,MATCH(A440,W:W,0))</f>
        <v>#N/A</v>
      </c>
      <c r="K441" s="19" t="s">
        <v>539</v>
      </c>
    </row>
    <row r="442" spans="1:11" x14ac:dyDescent="0.3">
      <c r="A442" t="s">
        <v>448</v>
      </c>
      <c r="B442" t="s">
        <v>549</v>
      </c>
      <c r="C442" t="s">
        <v>124</v>
      </c>
      <c r="D442" t="s">
        <v>52</v>
      </c>
      <c r="F442" t="s">
        <v>127</v>
      </c>
      <c r="I442" s="17" t="e">
        <f>INDEX(N:N,MATCH(A442,O:O,0))/100</f>
        <v>#N/A</v>
      </c>
      <c r="J442" s="17" t="e">
        <f>INDEX(V:V,MATCH(A442,W:W,0))/100</f>
        <v>#N/A</v>
      </c>
      <c r="K442" s="18" t="s">
        <v>545</v>
      </c>
    </row>
    <row r="443" spans="1:11" x14ac:dyDescent="0.3">
      <c r="A443" t="s">
        <v>448</v>
      </c>
      <c r="B443" t="s">
        <v>549</v>
      </c>
      <c r="C443" t="s">
        <v>124</v>
      </c>
      <c r="D443" t="s">
        <v>52</v>
      </c>
      <c r="F443" t="s">
        <v>127</v>
      </c>
      <c r="I443" s="18" t="e">
        <f>INDEX(M:M,MATCH(A442,O:O,0))</f>
        <v>#N/A</v>
      </c>
      <c r="J443" s="18" t="e">
        <f>INDEX(U:U,MATCH(A442,W:W,0))</f>
        <v>#N/A</v>
      </c>
      <c r="K443" s="19" t="s">
        <v>539</v>
      </c>
    </row>
    <row r="444" spans="1:11" x14ac:dyDescent="0.3">
      <c r="A444" t="s">
        <v>449</v>
      </c>
      <c r="B444" t="s">
        <v>549</v>
      </c>
      <c r="C444" t="s">
        <v>124</v>
      </c>
      <c r="D444" t="s">
        <v>52</v>
      </c>
      <c r="F444" t="s">
        <v>550</v>
      </c>
      <c r="I444" s="17" t="e">
        <f>INDEX(N:N,MATCH(A444,O:O,0))/100</f>
        <v>#N/A</v>
      </c>
      <c r="J444" s="17" t="e">
        <f>INDEX(V:V,MATCH(A444,W:W,0))/100</f>
        <v>#N/A</v>
      </c>
      <c r="K444" s="18" t="s">
        <v>545</v>
      </c>
    </row>
    <row r="445" spans="1:11" x14ac:dyDescent="0.3">
      <c r="A445" t="s">
        <v>449</v>
      </c>
      <c r="B445" t="s">
        <v>549</v>
      </c>
      <c r="C445" t="s">
        <v>124</v>
      </c>
      <c r="D445" t="s">
        <v>52</v>
      </c>
      <c r="F445" t="s">
        <v>550</v>
      </c>
      <c r="I445" s="18" t="e">
        <f>INDEX(M:M,MATCH(A444,O:O,0))</f>
        <v>#N/A</v>
      </c>
      <c r="J445" s="18" t="e">
        <f>INDEX(U:U,MATCH(A444,W:W,0))</f>
        <v>#N/A</v>
      </c>
      <c r="K445" s="19" t="s">
        <v>539</v>
      </c>
    </row>
    <row r="446" spans="1:11" x14ac:dyDescent="0.3">
      <c r="A446" t="s">
        <v>450</v>
      </c>
      <c r="B446" t="s">
        <v>549</v>
      </c>
      <c r="C446" t="s">
        <v>124</v>
      </c>
      <c r="D446" t="s">
        <v>52</v>
      </c>
      <c r="F446" t="s">
        <v>551</v>
      </c>
      <c r="H446" t="s">
        <v>552</v>
      </c>
      <c r="I446" s="17" t="e">
        <f>INDEX(N:N,MATCH(A446,O:O,0))/100</f>
        <v>#N/A</v>
      </c>
      <c r="J446" s="17" t="e">
        <f>INDEX(V:V,MATCH(A446,W:W,0))/100</f>
        <v>#N/A</v>
      </c>
      <c r="K446" s="18" t="s">
        <v>545</v>
      </c>
    </row>
    <row r="447" spans="1:11" x14ac:dyDescent="0.3">
      <c r="A447" t="s">
        <v>450</v>
      </c>
      <c r="B447" t="s">
        <v>549</v>
      </c>
      <c r="C447" t="s">
        <v>124</v>
      </c>
      <c r="D447" t="s">
        <v>52</v>
      </c>
      <c r="F447" t="s">
        <v>551</v>
      </c>
      <c r="H447" t="s">
        <v>552</v>
      </c>
      <c r="I447" s="18" t="e">
        <f>INDEX(M:M,MATCH(A446,O:O,0))</f>
        <v>#N/A</v>
      </c>
      <c r="J447" s="18" t="e">
        <f>INDEX(U:U,MATCH(A446,W:W,0))</f>
        <v>#N/A</v>
      </c>
      <c r="K447" s="19" t="s">
        <v>539</v>
      </c>
    </row>
    <row r="448" spans="1:11" x14ac:dyDescent="0.3">
      <c r="A448" t="s">
        <v>451</v>
      </c>
      <c r="B448" t="s">
        <v>549</v>
      </c>
      <c r="C448" t="s">
        <v>124</v>
      </c>
      <c r="D448" t="s">
        <v>52</v>
      </c>
      <c r="F448" t="s">
        <v>551</v>
      </c>
      <c r="H448" t="s">
        <v>553</v>
      </c>
      <c r="I448" s="17" t="e">
        <f>INDEX(N:N,MATCH(A448,O:O,0))/100</f>
        <v>#N/A</v>
      </c>
      <c r="J448" s="17" t="e">
        <f>INDEX(V:V,MATCH(A448,W:W,0))/100</f>
        <v>#N/A</v>
      </c>
      <c r="K448" s="18" t="s">
        <v>545</v>
      </c>
    </row>
    <row r="449" spans="1:11" x14ac:dyDescent="0.3">
      <c r="A449" t="s">
        <v>451</v>
      </c>
      <c r="B449" t="s">
        <v>549</v>
      </c>
      <c r="C449" t="s">
        <v>124</v>
      </c>
      <c r="D449" t="s">
        <v>52</v>
      </c>
      <c r="F449" t="s">
        <v>551</v>
      </c>
      <c r="H449" t="s">
        <v>553</v>
      </c>
      <c r="I449" s="18" t="e">
        <f>INDEX(M:M,MATCH(A448,O:O,0))</f>
        <v>#N/A</v>
      </c>
      <c r="J449" s="18" t="e">
        <f>INDEX(U:U,MATCH(A448,W:W,0))</f>
        <v>#N/A</v>
      </c>
      <c r="K449" s="19" t="s">
        <v>539</v>
      </c>
    </row>
    <row r="450" spans="1:11" x14ac:dyDescent="0.3">
      <c r="A450" t="s">
        <v>452</v>
      </c>
      <c r="B450" t="s">
        <v>549</v>
      </c>
      <c r="C450" t="s">
        <v>124</v>
      </c>
      <c r="D450" t="s">
        <v>52</v>
      </c>
      <c r="F450" t="s">
        <v>551</v>
      </c>
      <c r="H450" t="s">
        <v>554</v>
      </c>
      <c r="I450" s="17" t="e">
        <f>INDEX(N:N,MATCH(A450,O:O,0))/100</f>
        <v>#N/A</v>
      </c>
      <c r="J450" s="17" t="e">
        <f>INDEX(V:V,MATCH(A450,W:W,0))/100</f>
        <v>#N/A</v>
      </c>
      <c r="K450" s="18" t="s">
        <v>545</v>
      </c>
    </row>
    <row r="451" spans="1:11" x14ac:dyDescent="0.3">
      <c r="A451" t="s">
        <v>452</v>
      </c>
      <c r="B451" t="s">
        <v>549</v>
      </c>
      <c r="C451" t="s">
        <v>124</v>
      </c>
      <c r="D451" t="s">
        <v>52</v>
      </c>
      <c r="F451" t="s">
        <v>551</v>
      </c>
      <c r="H451" t="s">
        <v>554</v>
      </c>
      <c r="I451" s="18" t="e">
        <f>INDEX(M:M,MATCH(A450,O:O,0))</f>
        <v>#N/A</v>
      </c>
      <c r="J451" s="18" t="e">
        <f>INDEX(U:U,MATCH(A450,W:W,0))</f>
        <v>#N/A</v>
      </c>
      <c r="K451" s="19" t="s">
        <v>539</v>
      </c>
    </row>
    <row r="452" spans="1:11" x14ac:dyDescent="0.3">
      <c r="A452" t="s">
        <v>453</v>
      </c>
      <c r="B452" t="s">
        <v>549</v>
      </c>
      <c r="C452" t="s">
        <v>124</v>
      </c>
      <c r="D452" t="s">
        <v>52</v>
      </c>
      <c r="G452" t="s">
        <v>115</v>
      </c>
      <c r="I452" s="17" t="e">
        <f>INDEX(N:N,MATCH(A452,O:O,0))/100</f>
        <v>#N/A</v>
      </c>
      <c r="J452" s="17" t="e">
        <f>INDEX(V:V,MATCH(A452,W:W,0))/100</f>
        <v>#N/A</v>
      </c>
      <c r="K452" s="18" t="s">
        <v>545</v>
      </c>
    </row>
    <row r="453" spans="1:11" x14ac:dyDescent="0.3">
      <c r="A453" t="s">
        <v>453</v>
      </c>
      <c r="B453" t="s">
        <v>549</v>
      </c>
      <c r="C453" t="s">
        <v>124</v>
      </c>
      <c r="D453" t="s">
        <v>52</v>
      </c>
      <c r="G453" t="s">
        <v>115</v>
      </c>
      <c r="I453" s="18" t="e">
        <f>INDEX(M:M,MATCH(A452,O:O,0))</f>
        <v>#N/A</v>
      </c>
      <c r="J453" s="18" t="e">
        <f>INDEX(U:U,MATCH(A452,W:W,0))</f>
        <v>#N/A</v>
      </c>
      <c r="K453" s="19" t="s">
        <v>539</v>
      </c>
    </row>
    <row r="454" spans="1:11" x14ac:dyDescent="0.3">
      <c r="A454" t="s">
        <v>454</v>
      </c>
      <c r="B454" t="s">
        <v>549</v>
      </c>
      <c r="C454" t="s">
        <v>124</v>
      </c>
      <c r="D454" t="s">
        <v>52</v>
      </c>
      <c r="G454" t="s">
        <v>120</v>
      </c>
      <c r="I454" s="17" t="e">
        <f>INDEX(N:N,MATCH(A454,O:O,0))/100</f>
        <v>#N/A</v>
      </c>
      <c r="J454" s="17" t="e">
        <f>INDEX(V:V,MATCH(A454,W:W,0))/100</f>
        <v>#N/A</v>
      </c>
      <c r="K454" s="18" t="s">
        <v>545</v>
      </c>
    </row>
    <row r="455" spans="1:11" x14ac:dyDescent="0.3">
      <c r="A455" t="s">
        <v>454</v>
      </c>
      <c r="B455" t="s">
        <v>549</v>
      </c>
      <c r="C455" t="s">
        <v>124</v>
      </c>
      <c r="D455" t="s">
        <v>52</v>
      </c>
      <c r="G455" t="s">
        <v>120</v>
      </c>
      <c r="I455" s="18" t="e">
        <f>INDEX(M:M,MATCH(A454,O:O,0))</f>
        <v>#N/A</v>
      </c>
      <c r="J455" s="18" t="e">
        <f>INDEX(U:U,MATCH(A454,W:W,0))</f>
        <v>#N/A</v>
      </c>
      <c r="K455" s="19" t="s">
        <v>539</v>
      </c>
    </row>
    <row r="456" spans="1:11" x14ac:dyDescent="0.3">
      <c r="A456" t="s">
        <v>455</v>
      </c>
      <c r="B456" t="s">
        <v>549</v>
      </c>
      <c r="C456" t="s">
        <v>124</v>
      </c>
      <c r="D456" t="s">
        <v>52</v>
      </c>
      <c r="G456" t="s">
        <v>117</v>
      </c>
      <c r="I456" s="17" t="e">
        <f>INDEX(N:N,MATCH(A456,O:O,0))/100</f>
        <v>#N/A</v>
      </c>
      <c r="J456" s="17" t="e">
        <f>INDEX(V:V,MATCH(A456,W:W,0))/100</f>
        <v>#N/A</v>
      </c>
      <c r="K456" s="18" t="s">
        <v>545</v>
      </c>
    </row>
    <row r="457" spans="1:11" x14ac:dyDescent="0.3">
      <c r="A457" t="s">
        <v>455</v>
      </c>
      <c r="B457" t="s">
        <v>549</v>
      </c>
      <c r="C457" t="s">
        <v>124</v>
      </c>
      <c r="D457" t="s">
        <v>52</v>
      </c>
      <c r="G457" t="s">
        <v>117</v>
      </c>
      <c r="I457" s="18" t="e">
        <f>INDEX(M:M,MATCH(A456,O:O,0))</f>
        <v>#N/A</v>
      </c>
      <c r="J457" s="18" t="e">
        <f>INDEX(U:U,MATCH(A456,W:W,0))</f>
        <v>#N/A</v>
      </c>
      <c r="K457" s="19" t="s">
        <v>539</v>
      </c>
    </row>
    <row r="458" spans="1:11" x14ac:dyDescent="0.3">
      <c r="A458" t="s">
        <v>456</v>
      </c>
      <c r="B458" t="s">
        <v>549</v>
      </c>
      <c r="C458" t="s">
        <v>52</v>
      </c>
      <c r="D458" t="s">
        <v>556</v>
      </c>
      <c r="I458" s="17" t="e">
        <f>INDEX(N:N,MATCH(A458,O:O,0))/100</f>
        <v>#N/A</v>
      </c>
      <c r="J458" s="17" t="e">
        <f>INDEX(V:V,MATCH(A458,W:W,0))/100</f>
        <v>#N/A</v>
      </c>
      <c r="K458" s="18" t="s">
        <v>545</v>
      </c>
    </row>
    <row r="459" spans="1:11" x14ac:dyDescent="0.3">
      <c r="A459" t="s">
        <v>456</v>
      </c>
      <c r="B459" t="s">
        <v>549</v>
      </c>
      <c r="C459" t="s">
        <v>52</v>
      </c>
      <c r="D459" t="s">
        <v>556</v>
      </c>
      <c r="I459" s="18" t="e">
        <f>INDEX(M:M,MATCH(A458,O:O,0))</f>
        <v>#N/A</v>
      </c>
      <c r="J459" s="18" t="e">
        <f>INDEX(U:U,MATCH(A458,W:W,0))</f>
        <v>#N/A</v>
      </c>
      <c r="K459" s="19" t="s">
        <v>539</v>
      </c>
    </row>
    <row r="460" spans="1:11" x14ac:dyDescent="0.3">
      <c r="A460" t="s">
        <v>457</v>
      </c>
      <c r="B460" t="s">
        <v>557</v>
      </c>
      <c r="I460" s="17" t="e">
        <f>INDEX(N:N,MATCH(A460,O:O,0))/100</f>
        <v>#N/A</v>
      </c>
      <c r="J460" s="17" t="e">
        <f>INDEX(V:V,MATCH(A460,W:W,0))/100</f>
        <v>#N/A</v>
      </c>
      <c r="K460" s="18" t="s">
        <v>545</v>
      </c>
    </row>
    <row r="461" spans="1:11" x14ac:dyDescent="0.3">
      <c r="A461" t="s">
        <v>457</v>
      </c>
      <c r="B461" t="s">
        <v>557</v>
      </c>
      <c r="I461" s="18" t="e">
        <f>INDEX(M:M,MATCH(A460,O:O,0))</f>
        <v>#N/A</v>
      </c>
      <c r="J461" s="18" t="e">
        <f>INDEX(U:U,MATCH(A460,W:W,0))</f>
        <v>#N/A</v>
      </c>
      <c r="K461" s="19" t="s">
        <v>539</v>
      </c>
    </row>
    <row r="462" spans="1:11" x14ac:dyDescent="0.3">
      <c r="A462" t="s">
        <v>458</v>
      </c>
      <c r="B462" t="s">
        <v>131</v>
      </c>
      <c r="C462" t="s">
        <v>122</v>
      </c>
      <c r="D462" t="s">
        <v>30</v>
      </c>
      <c r="I462" s="17" t="e">
        <f>INDEX(N:N,MATCH(A462,O:O,0))/100</f>
        <v>#N/A</v>
      </c>
      <c r="J462" s="17" t="e">
        <f>INDEX(V:V,MATCH(A462,W:W,0))/100</f>
        <v>#N/A</v>
      </c>
      <c r="K462" s="18" t="s">
        <v>545</v>
      </c>
    </row>
    <row r="463" spans="1:11" x14ac:dyDescent="0.3">
      <c r="A463" t="s">
        <v>458</v>
      </c>
      <c r="B463" t="s">
        <v>131</v>
      </c>
      <c r="C463" t="s">
        <v>122</v>
      </c>
      <c r="D463" t="s">
        <v>30</v>
      </c>
      <c r="I463" s="18" t="e">
        <f>INDEX(M:M,MATCH(A462,O:O,0))</f>
        <v>#N/A</v>
      </c>
      <c r="J463" s="18" t="e">
        <f>INDEX(U:U,MATCH(A462,W:W,0))</f>
        <v>#N/A</v>
      </c>
      <c r="K463" s="19" t="s">
        <v>539</v>
      </c>
    </row>
    <row r="464" spans="1:11" x14ac:dyDescent="0.3">
      <c r="A464" t="s">
        <v>459</v>
      </c>
      <c r="B464" t="s">
        <v>131</v>
      </c>
      <c r="C464" t="s">
        <v>126</v>
      </c>
      <c r="D464" t="s">
        <v>30</v>
      </c>
      <c r="I464" s="17" t="e">
        <f>INDEX(N:N,MATCH(A464,O:O,0))/100</f>
        <v>#N/A</v>
      </c>
      <c r="J464" s="17" t="e">
        <f>INDEX(V:V,MATCH(A464,W:W,0))/100</f>
        <v>#N/A</v>
      </c>
      <c r="K464" s="18" t="s">
        <v>545</v>
      </c>
    </row>
    <row r="465" spans="1:11" x14ac:dyDescent="0.3">
      <c r="A465" t="s">
        <v>459</v>
      </c>
      <c r="B465" t="s">
        <v>131</v>
      </c>
      <c r="C465" t="s">
        <v>126</v>
      </c>
      <c r="D465" t="s">
        <v>30</v>
      </c>
      <c r="I465" s="18" t="e">
        <f>INDEX(M:M,MATCH(A464,O:O,0))</f>
        <v>#N/A</v>
      </c>
      <c r="J465" s="18" t="e">
        <f>INDEX(U:U,MATCH(A464,W:W,0))</f>
        <v>#N/A</v>
      </c>
      <c r="K465" s="19" t="s">
        <v>539</v>
      </c>
    </row>
    <row r="466" spans="1:11" x14ac:dyDescent="0.3">
      <c r="A466" t="s">
        <v>460</v>
      </c>
      <c r="B466" t="s">
        <v>131</v>
      </c>
      <c r="C466" t="s">
        <v>119</v>
      </c>
      <c r="D466" t="s">
        <v>30</v>
      </c>
      <c r="I466" s="17" t="e">
        <f>INDEX(N:N,MATCH(A466,O:O,0))/100</f>
        <v>#N/A</v>
      </c>
      <c r="J466" s="17" t="e">
        <f>INDEX(V:V,MATCH(A466,W:W,0))/100</f>
        <v>#N/A</v>
      </c>
      <c r="K466" s="18" t="s">
        <v>545</v>
      </c>
    </row>
    <row r="467" spans="1:11" x14ac:dyDescent="0.3">
      <c r="A467" t="s">
        <v>460</v>
      </c>
      <c r="B467" t="s">
        <v>131</v>
      </c>
      <c r="C467" t="s">
        <v>119</v>
      </c>
      <c r="D467" t="s">
        <v>30</v>
      </c>
      <c r="I467" s="18" t="e">
        <f>INDEX(M:M,MATCH(A466,O:O,0))</f>
        <v>#N/A</v>
      </c>
      <c r="J467" s="18" t="e">
        <f>INDEX(U:U,MATCH(A466,W:W,0))</f>
        <v>#N/A</v>
      </c>
      <c r="K467" s="19" t="s">
        <v>539</v>
      </c>
    </row>
    <row r="468" spans="1:11" x14ac:dyDescent="0.3">
      <c r="A468" t="s">
        <v>461</v>
      </c>
      <c r="B468" t="s">
        <v>131</v>
      </c>
      <c r="C468" t="s">
        <v>114</v>
      </c>
      <c r="D468" t="s">
        <v>30</v>
      </c>
      <c r="I468" s="17" t="e">
        <f>INDEX(N:N,MATCH(A468,O:O,0))/100</f>
        <v>#N/A</v>
      </c>
      <c r="J468" s="17" t="e">
        <f>INDEX(V:V,MATCH(A468,W:W,0))/100</f>
        <v>#N/A</v>
      </c>
      <c r="K468" s="18" t="s">
        <v>545</v>
      </c>
    </row>
    <row r="469" spans="1:11" x14ac:dyDescent="0.3">
      <c r="A469" t="s">
        <v>461</v>
      </c>
      <c r="B469" t="s">
        <v>131</v>
      </c>
      <c r="C469" t="s">
        <v>114</v>
      </c>
      <c r="D469" t="s">
        <v>30</v>
      </c>
      <c r="I469" s="18" t="e">
        <f>INDEX(M:M,MATCH(A468,O:O,0))</f>
        <v>#N/A</v>
      </c>
      <c r="J469" s="18" t="e">
        <f>INDEX(U:U,MATCH(A468,W:W,0))</f>
        <v>#N/A</v>
      </c>
      <c r="K469" s="19" t="s">
        <v>539</v>
      </c>
    </row>
    <row r="470" spans="1:11" x14ac:dyDescent="0.3">
      <c r="A470" t="s">
        <v>462</v>
      </c>
      <c r="B470" t="s">
        <v>131</v>
      </c>
      <c r="C470" t="s">
        <v>124</v>
      </c>
      <c r="D470" t="s">
        <v>30</v>
      </c>
      <c r="I470" s="17" t="e">
        <f>INDEX(N:N,MATCH(A470,O:O,0))/100</f>
        <v>#N/A</v>
      </c>
      <c r="J470" s="17" t="e">
        <f>INDEX(V:V,MATCH(A470,W:W,0))/100</f>
        <v>#N/A</v>
      </c>
      <c r="K470" s="18" t="s">
        <v>545</v>
      </c>
    </row>
    <row r="471" spans="1:11" x14ac:dyDescent="0.3">
      <c r="A471" t="s">
        <v>462</v>
      </c>
      <c r="B471" t="s">
        <v>131</v>
      </c>
      <c r="C471" t="s">
        <v>124</v>
      </c>
      <c r="D471" t="s">
        <v>30</v>
      </c>
      <c r="I471" s="18" t="e">
        <f>INDEX(M:M,MATCH(A470,O:O,0))</f>
        <v>#N/A</v>
      </c>
      <c r="J471" s="18" t="e">
        <f>INDEX(U:U,MATCH(A470,W:W,0))</f>
        <v>#N/A</v>
      </c>
      <c r="K471" s="19" t="s">
        <v>539</v>
      </c>
    </row>
    <row r="472" spans="1:11" x14ac:dyDescent="0.3">
      <c r="A472" t="s">
        <v>463</v>
      </c>
      <c r="B472" t="s">
        <v>131</v>
      </c>
      <c r="C472" t="s">
        <v>122</v>
      </c>
      <c r="D472" t="s">
        <v>31</v>
      </c>
      <c r="I472" s="17" t="e">
        <f>INDEX(N:N,MATCH(A472,O:O,0))/100</f>
        <v>#N/A</v>
      </c>
      <c r="J472" s="17" t="e">
        <f>INDEX(V:V,MATCH(A472,W:W,0))/100</f>
        <v>#N/A</v>
      </c>
      <c r="K472" s="18" t="s">
        <v>545</v>
      </c>
    </row>
    <row r="473" spans="1:11" x14ac:dyDescent="0.3">
      <c r="A473" t="s">
        <v>463</v>
      </c>
      <c r="B473" t="s">
        <v>131</v>
      </c>
      <c r="C473" t="s">
        <v>122</v>
      </c>
      <c r="D473" t="s">
        <v>31</v>
      </c>
      <c r="I473" s="18" t="e">
        <f>INDEX(M:M,MATCH(A472,O:O,0))</f>
        <v>#N/A</v>
      </c>
      <c r="J473" s="18" t="e">
        <f>INDEX(U:U,MATCH(A472,W:W,0))</f>
        <v>#N/A</v>
      </c>
      <c r="K473" s="19" t="s">
        <v>539</v>
      </c>
    </row>
    <row r="474" spans="1:11" x14ac:dyDescent="0.3">
      <c r="A474" t="s">
        <v>464</v>
      </c>
      <c r="B474" t="s">
        <v>131</v>
      </c>
      <c r="C474" t="s">
        <v>126</v>
      </c>
      <c r="D474" t="s">
        <v>31</v>
      </c>
      <c r="I474" s="17" t="e">
        <f>INDEX(N:N,MATCH(A474,O:O,0))/100</f>
        <v>#N/A</v>
      </c>
      <c r="J474" s="17" t="e">
        <f>INDEX(V:V,MATCH(A474,W:W,0))/100</f>
        <v>#N/A</v>
      </c>
      <c r="K474" s="18" t="s">
        <v>545</v>
      </c>
    </row>
    <row r="475" spans="1:11" x14ac:dyDescent="0.3">
      <c r="A475" t="s">
        <v>464</v>
      </c>
      <c r="B475" t="s">
        <v>131</v>
      </c>
      <c r="C475" t="s">
        <v>126</v>
      </c>
      <c r="D475" t="s">
        <v>31</v>
      </c>
      <c r="I475" s="18" t="e">
        <f>INDEX(M:M,MATCH(A474,O:O,0))</f>
        <v>#N/A</v>
      </c>
      <c r="J475" s="18" t="e">
        <f>INDEX(U:U,MATCH(A474,W:W,0))</f>
        <v>#N/A</v>
      </c>
      <c r="K475" s="19" t="s">
        <v>539</v>
      </c>
    </row>
    <row r="476" spans="1:11" x14ac:dyDescent="0.3">
      <c r="A476" t="s">
        <v>465</v>
      </c>
      <c r="B476" t="s">
        <v>131</v>
      </c>
      <c r="C476" t="s">
        <v>119</v>
      </c>
      <c r="D476" t="s">
        <v>31</v>
      </c>
      <c r="I476" s="17" t="e">
        <f>INDEX(N:N,MATCH(A476,O:O,0))/100</f>
        <v>#N/A</v>
      </c>
      <c r="J476" s="17" t="e">
        <f>INDEX(V:V,MATCH(A476,W:W,0))/100</f>
        <v>#N/A</v>
      </c>
      <c r="K476" s="18" t="s">
        <v>545</v>
      </c>
    </row>
    <row r="477" spans="1:11" x14ac:dyDescent="0.3">
      <c r="A477" t="s">
        <v>465</v>
      </c>
      <c r="B477" t="s">
        <v>131</v>
      </c>
      <c r="C477" t="s">
        <v>119</v>
      </c>
      <c r="D477" t="s">
        <v>31</v>
      </c>
      <c r="I477" s="18" t="e">
        <f>INDEX(M:M,MATCH(A476,O:O,0))</f>
        <v>#N/A</v>
      </c>
      <c r="J477" s="18" t="e">
        <f>INDEX(U:U,MATCH(A476,W:W,0))</f>
        <v>#N/A</v>
      </c>
      <c r="K477" s="19" t="s">
        <v>539</v>
      </c>
    </row>
    <row r="478" spans="1:11" x14ac:dyDescent="0.3">
      <c r="A478" t="s">
        <v>466</v>
      </c>
      <c r="B478" t="s">
        <v>131</v>
      </c>
      <c r="C478" t="s">
        <v>114</v>
      </c>
      <c r="D478" t="s">
        <v>31</v>
      </c>
      <c r="I478" s="17" t="e">
        <f>INDEX(N:N,MATCH(A478,O:O,0))/100</f>
        <v>#N/A</v>
      </c>
      <c r="J478" s="17" t="e">
        <f>INDEX(V:V,MATCH(A478,W:W,0))/100</f>
        <v>#N/A</v>
      </c>
      <c r="K478" s="18" t="s">
        <v>545</v>
      </c>
    </row>
    <row r="479" spans="1:11" x14ac:dyDescent="0.3">
      <c r="A479" t="s">
        <v>466</v>
      </c>
      <c r="B479" t="s">
        <v>131</v>
      </c>
      <c r="C479" t="s">
        <v>114</v>
      </c>
      <c r="D479" t="s">
        <v>31</v>
      </c>
      <c r="I479" s="18" t="e">
        <f>INDEX(M:M,MATCH(A478,O:O,0))</f>
        <v>#N/A</v>
      </c>
      <c r="J479" s="18" t="e">
        <f>INDEX(U:U,MATCH(A478,W:W,0))</f>
        <v>#N/A</v>
      </c>
      <c r="K479" s="19" t="s">
        <v>539</v>
      </c>
    </row>
    <row r="480" spans="1:11" x14ac:dyDescent="0.3">
      <c r="A480" t="s">
        <v>467</v>
      </c>
      <c r="B480" t="s">
        <v>131</v>
      </c>
      <c r="C480" t="s">
        <v>124</v>
      </c>
      <c r="D480" t="s">
        <v>31</v>
      </c>
      <c r="I480" s="17" t="e">
        <f>INDEX(N:N,MATCH(A480,O:O,0))/100</f>
        <v>#N/A</v>
      </c>
      <c r="J480" s="17" t="e">
        <f>INDEX(V:V,MATCH(A480,W:W,0))/100</f>
        <v>#N/A</v>
      </c>
      <c r="K480" s="18" t="s">
        <v>545</v>
      </c>
    </row>
    <row r="481" spans="1:11" x14ac:dyDescent="0.3">
      <c r="A481" t="s">
        <v>467</v>
      </c>
      <c r="B481" t="s">
        <v>131</v>
      </c>
      <c r="C481" t="s">
        <v>124</v>
      </c>
      <c r="D481" t="s">
        <v>31</v>
      </c>
      <c r="I481" s="18" t="e">
        <f>INDEX(M:M,MATCH(A480,O:O,0))</f>
        <v>#N/A</v>
      </c>
      <c r="J481" s="18" t="e">
        <f>INDEX(U:U,MATCH(A480,W:W,0))</f>
        <v>#N/A</v>
      </c>
      <c r="K481" s="19" t="s">
        <v>539</v>
      </c>
    </row>
    <row r="482" spans="1:11" x14ac:dyDescent="0.3">
      <c r="A482" t="s">
        <v>468</v>
      </c>
      <c r="B482" t="s">
        <v>131</v>
      </c>
      <c r="C482" t="s">
        <v>122</v>
      </c>
      <c r="D482" t="s">
        <v>18</v>
      </c>
      <c r="I482" s="17" t="e">
        <f>INDEX(N:N,MATCH(A482,O:O,0))/100</f>
        <v>#N/A</v>
      </c>
      <c r="J482" s="17" t="e">
        <f>INDEX(V:V,MATCH(A482,W:W,0))/100</f>
        <v>#N/A</v>
      </c>
      <c r="K482" s="18" t="s">
        <v>545</v>
      </c>
    </row>
    <row r="483" spans="1:11" x14ac:dyDescent="0.3">
      <c r="A483" t="s">
        <v>468</v>
      </c>
      <c r="B483" t="s">
        <v>131</v>
      </c>
      <c r="C483" t="s">
        <v>122</v>
      </c>
      <c r="D483" t="s">
        <v>18</v>
      </c>
      <c r="I483" s="18" t="e">
        <f>INDEX(M:M,MATCH(A482,O:O,0))</f>
        <v>#N/A</v>
      </c>
      <c r="J483" s="18" t="e">
        <f>INDEX(U:U,MATCH(A482,W:W,0))</f>
        <v>#N/A</v>
      </c>
      <c r="K483" s="19" t="s">
        <v>539</v>
      </c>
    </row>
    <row r="484" spans="1:11" x14ac:dyDescent="0.3">
      <c r="A484" t="s">
        <v>469</v>
      </c>
      <c r="B484" t="s">
        <v>131</v>
      </c>
      <c r="C484" t="s">
        <v>126</v>
      </c>
      <c r="D484" t="s">
        <v>18</v>
      </c>
      <c r="I484" s="17" t="e">
        <f>INDEX(N:N,MATCH(A484,O:O,0))/100</f>
        <v>#N/A</v>
      </c>
      <c r="J484" s="17" t="e">
        <f>INDEX(V:V,MATCH(A484,W:W,0))/100</f>
        <v>#N/A</v>
      </c>
      <c r="K484" s="18" t="s">
        <v>545</v>
      </c>
    </row>
    <row r="485" spans="1:11" x14ac:dyDescent="0.3">
      <c r="A485" t="s">
        <v>469</v>
      </c>
      <c r="B485" t="s">
        <v>131</v>
      </c>
      <c r="C485" t="s">
        <v>126</v>
      </c>
      <c r="D485" t="s">
        <v>18</v>
      </c>
      <c r="I485" s="18" t="e">
        <f>INDEX(M:M,MATCH(A484,O:O,0))</f>
        <v>#N/A</v>
      </c>
      <c r="J485" s="18" t="e">
        <f>INDEX(U:U,MATCH(A484,W:W,0))</f>
        <v>#N/A</v>
      </c>
      <c r="K485" s="19" t="s">
        <v>539</v>
      </c>
    </row>
    <row r="486" spans="1:11" x14ac:dyDescent="0.3">
      <c r="A486" t="s">
        <v>470</v>
      </c>
      <c r="B486" t="s">
        <v>131</v>
      </c>
      <c r="C486" t="s">
        <v>119</v>
      </c>
      <c r="D486" t="s">
        <v>18</v>
      </c>
      <c r="I486" s="17" t="e">
        <f>INDEX(N:N,MATCH(A486,O:O,0))/100</f>
        <v>#N/A</v>
      </c>
      <c r="J486" s="17" t="e">
        <f>INDEX(V:V,MATCH(A486,W:W,0))/100</f>
        <v>#N/A</v>
      </c>
      <c r="K486" s="18" t="s">
        <v>545</v>
      </c>
    </row>
    <row r="487" spans="1:11" x14ac:dyDescent="0.3">
      <c r="A487" t="s">
        <v>470</v>
      </c>
      <c r="B487" t="s">
        <v>131</v>
      </c>
      <c r="C487" t="s">
        <v>119</v>
      </c>
      <c r="D487" t="s">
        <v>18</v>
      </c>
      <c r="I487" s="18" t="e">
        <f>INDEX(M:M,MATCH(A486,O:O,0))</f>
        <v>#N/A</v>
      </c>
      <c r="J487" s="18" t="e">
        <f>INDEX(U:U,MATCH(A486,W:W,0))</f>
        <v>#N/A</v>
      </c>
      <c r="K487" s="19" t="s">
        <v>539</v>
      </c>
    </row>
    <row r="488" spans="1:11" x14ac:dyDescent="0.3">
      <c r="A488" t="s">
        <v>471</v>
      </c>
      <c r="B488" t="s">
        <v>131</v>
      </c>
      <c r="C488" t="s">
        <v>114</v>
      </c>
      <c r="D488" t="s">
        <v>18</v>
      </c>
      <c r="I488" s="17" t="e">
        <f>INDEX(N:N,MATCH(A488,O:O,0))/100</f>
        <v>#N/A</v>
      </c>
      <c r="J488" s="17" t="e">
        <f>INDEX(V:V,MATCH(A488,W:W,0))/100</f>
        <v>#N/A</v>
      </c>
      <c r="K488" s="18" t="s">
        <v>545</v>
      </c>
    </row>
    <row r="489" spans="1:11" x14ac:dyDescent="0.3">
      <c r="A489" t="s">
        <v>471</v>
      </c>
      <c r="B489" t="s">
        <v>131</v>
      </c>
      <c r="C489" t="s">
        <v>114</v>
      </c>
      <c r="D489" t="s">
        <v>18</v>
      </c>
      <c r="I489" s="18" t="e">
        <f>INDEX(M:M,MATCH(A488,O:O,0))</f>
        <v>#N/A</v>
      </c>
      <c r="J489" s="18" t="e">
        <f>INDEX(U:U,MATCH(A488,W:W,0))</f>
        <v>#N/A</v>
      </c>
      <c r="K489" s="19" t="s">
        <v>539</v>
      </c>
    </row>
    <row r="490" spans="1:11" x14ac:dyDescent="0.3">
      <c r="A490" t="s">
        <v>472</v>
      </c>
      <c r="B490" t="s">
        <v>131</v>
      </c>
      <c r="C490" t="s">
        <v>124</v>
      </c>
      <c r="D490" t="s">
        <v>18</v>
      </c>
      <c r="I490" s="17" t="e">
        <f>INDEX(N:N,MATCH(A490,O:O,0))/100</f>
        <v>#N/A</v>
      </c>
      <c r="J490" s="17" t="e">
        <f>INDEX(V:V,MATCH(A490,W:W,0))/100</f>
        <v>#N/A</v>
      </c>
      <c r="K490" s="18" t="s">
        <v>545</v>
      </c>
    </row>
    <row r="491" spans="1:11" x14ac:dyDescent="0.3">
      <c r="A491" t="s">
        <v>472</v>
      </c>
      <c r="B491" t="s">
        <v>131</v>
      </c>
      <c r="C491" t="s">
        <v>124</v>
      </c>
      <c r="D491" t="s">
        <v>18</v>
      </c>
      <c r="I491" s="18" t="e">
        <f>INDEX(M:M,MATCH(A490,O:O,0))</f>
        <v>#N/A</v>
      </c>
      <c r="J491" s="18" t="e">
        <f>INDEX(U:U,MATCH(A490,W:W,0))</f>
        <v>#N/A</v>
      </c>
      <c r="K491" s="19" t="s">
        <v>539</v>
      </c>
    </row>
    <row r="492" spans="1:11" x14ac:dyDescent="0.3">
      <c r="A492" t="s">
        <v>468</v>
      </c>
      <c r="B492" t="s">
        <v>131</v>
      </c>
      <c r="C492" t="s">
        <v>122</v>
      </c>
      <c r="D492" t="s">
        <v>558</v>
      </c>
      <c r="I492" s="17" t="e">
        <f>INDEX(N:N,MATCH(A492,O:O,0))/100</f>
        <v>#N/A</v>
      </c>
      <c r="J492" s="17" t="e">
        <f>INDEX(V:V,MATCH(A492,W:W,0))/100</f>
        <v>#N/A</v>
      </c>
      <c r="K492" s="18" t="s">
        <v>545</v>
      </c>
    </row>
    <row r="493" spans="1:11" x14ac:dyDescent="0.3">
      <c r="A493" t="s">
        <v>468</v>
      </c>
      <c r="B493" t="s">
        <v>131</v>
      </c>
      <c r="C493" t="s">
        <v>122</v>
      </c>
      <c r="D493" t="s">
        <v>558</v>
      </c>
      <c r="I493" s="18" t="e">
        <f>INDEX(M:M,MATCH(A492,O:O,0))</f>
        <v>#N/A</v>
      </c>
      <c r="J493" s="18" t="e">
        <f>INDEX(U:U,MATCH(A492,W:W,0))</f>
        <v>#N/A</v>
      </c>
      <c r="K493" s="19" t="s">
        <v>539</v>
      </c>
    </row>
    <row r="494" spans="1:11" x14ac:dyDescent="0.3">
      <c r="A494" t="s">
        <v>469</v>
      </c>
      <c r="B494" t="s">
        <v>131</v>
      </c>
      <c r="C494" t="s">
        <v>126</v>
      </c>
      <c r="D494" t="s">
        <v>558</v>
      </c>
      <c r="I494" s="17" t="e">
        <f>INDEX(N:N,MATCH(A494,O:O,0))/100</f>
        <v>#N/A</v>
      </c>
      <c r="J494" s="17" t="e">
        <f>INDEX(V:V,MATCH(A494,W:W,0))/100</f>
        <v>#N/A</v>
      </c>
      <c r="K494" s="18" t="s">
        <v>545</v>
      </c>
    </row>
    <row r="495" spans="1:11" x14ac:dyDescent="0.3">
      <c r="A495" t="s">
        <v>469</v>
      </c>
      <c r="B495" t="s">
        <v>131</v>
      </c>
      <c r="C495" t="s">
        <v>126</v>
      </c>
      <c r="D495" t="s">
        <v>558</v>
      </c>
      <c r="I495" s="18" t="e">
        <f>INDEX(M:M,MATCH(A494,O:O,0))</f>
        <v>#N/A</v>
      </c>
      <c r="J495" s="18" t="e">
        <f>INDEX(U:U,MATCH(A494,W:W,0))</f>
        <v>#N/A</v>
      </c>
      <c r="K495" s="19" t="s">
        <v>539</v>
      </c>
    </row>
    <row r="496" spans="1:11" x14ac:dyDescent="0.3">
      <c r="A496" t="s">
        <v>470</v>
      </c>
      <c r="B496" t="s">
        <v>131</v>
      </c>
      <c r="C496" t="s">
        <v>119</v>
      </c>
      <c r="D496" t="s">
        <v>558</v>
      </c>
      <c r="I496" s="17" t="e">
        <f>INDEX(N:N,MATCH(A496,O:O,0))/100</f>
        <v>#N/A</v>
      </c>
      <c r="J496" s="17" t="e">
        <f>INDEX(V:V,MATCH(A496,W:W,0))/100</f>
        <v>#N/A</v>
      </c>
      <c r="K496" s="18" t="s">
        <v>545</v>
      </c>
    </row>
    <row r="497" spans="1:11" x14ac:dyDescent="0.3">
      <c r="A497" t="s">
        <v>470</v>
      </c>
      <c r="B497" t="s">
        <v>131</v>
      </c>
      <c r="C497" t="s">
        <v>119</v>
      </c>
      <c r="D497" t="s">
        <v>558</v>
      </c>
      <c r="I497" s="18" t="e">
        <f>INDEX(M:M,MATCH(A496,O:O,0))</f>
        <v>#N/A</v>
      </c>
      <c r="J497" s="18" t="e">
        <f>INDEX(U:U,MATCH(A496,W:W,0))</f>
        <v>#N/A</v>
      </c>
      <c r="K497" s="19" t="s">
        <v>539</v>
      </c>
    </row>
    <row r="498" spans="1:11" x14ac:dyDescent="0.3">
      <c r="A498" t="s">
        <v>471</v>
      </c>
      <c r="B498" t="s">
        <v>131</v>
      </c>
      <c r="C498" t="s">
        <v>114</v>
      </c>
      <c r="D498" t="s">
        <v>558</v>
      </c>
      <c r="I498" s="17" t="e">
        <f>INDEX(N:N,MATCH(A498,O:O,0))/100</f>
        <v>#N/A</v>
      </c>
      <c r="J498" s="17" t="e">
        <f>INDEX(V:V,MATCH(A498,W:W,0))/100</f>
        <v>#N/A</v>
      </c>
      <c r="K498" s="18" t="s">
        <v>545</v>
      </c>
    </row>
    <row r="499" spans="1:11" x14ac:dyDescent="0.3">
      <c r="A499" t="s">
        <v>471</v>
      </c>
      <c r="B499" t="s">
        <v>131</v>
      </c>
      <c r="C499" t="s">
        <v>114</v>
      </c>
      <c r="D499" t="s">
        <v>558</v>
      </c>
      <c r="I499" s="18" t="e">
        <f>INDEX(M:M,MATCH(A498,O:O,0))</f>
        <v>#N/A</v>
      </c>
      <c r="J499" s="18" t="e">
        <f>INDEX(U:U,MATCH(A498,W:W,0))</f>
        <v>#N/A</v>
      </c>
      <c r="K499" s="19" t="s">
        <v>539</v>
      </c>
    </row>
    <row r="500" spans="1:11" x14ac:dyDescent="0.3">
      <c r="A500" t="s">
        <v>472</v>
      </c>
      <c r="B500" t="s">
        <v>131</v>
      </c>
      <c r="C500" t="s">
        <v>124</v>
      </c>
      <c r="D500" t="s">
        <v>558</v>
      </c>
      <c r="I500" s="17" t="e">
        <f>INDEX(N:N,MATCH(A500,O:O,0))/100</f>
        <v>#N/A</v>
      </c>
      <c r="J500" s="17" t="e">
        <f>INDEX(V:V,MATCH(A500,W:W,0))/100</f>
        <v>#N/A</v>
      </c>
      <c r="K500" s="18" t="s">
        <v>545</v>
      </c>
    </row>
    <row r="501" spans="1:11" x14ac:dyDescent="0.3">
      <c r="A501" t="s">
        <v>472</v>
      </c>
      <c r="B501" t="s">
        <v>131</v>
      </c>
      <c r="C501" t="s">
        <v>124</v>
      </c>
      <c r="D501" t="s">
        <v>558</v>
      </c>
      <c r="I501" s="18" t="e">
        <f>INDEX(M:M,MATCH(A500,O:O,0))</f>
        <v>#N/A</v>
      </c>
      <c r="J501" s="18" t="e">
        <f>INDEX(U:U,MATCH(A500,W:W,0))</f>
        <v>#N/A</v>
      </c>
      <c r="K501" s="19" t="s">
        <v>539</v>
      </c>
    </row>
    <row r="502" spans="1:11" x14ac:dyDescent="0.3">
      <c r="A502" t="s">
        <v>473</v>
      </c>
      <c r="B502" t="s">
        <v>131</v>
      </c>
      <c r="C502" t="s">
        <v>122</v>
      </c>
      <c r="D502" t="s">
        <v>19</v>
      </c>
      <c r="I502" s="17" t="e">
        <f>INDEX(N:N,MATCH(A502,O:O,0))/100</f>
        <v>#N/A</v>
      </c>
      <c r="J502" s="17" t="e">
        <f>INDEX(V:V,MATCH(A502,W:W,0))/100</f>
        <v>#N/A</v>
      </c>
      <c r="K502" s="18" t="s">
        <v>545</v>
      </c>
    </row>
    <row r="503" spans="1:11" x14ac:dyDescent="0.3">
      <c r="A503" t="s">
        <v>473</v>
      </c>
      <c r="B503" t="s">
        <v>131</v>
      </c>
      <c r="C503" t="s">
        <v>122</v>
      </c>
      <c r="D503" t="s">
        <v>19</v>
      </c>
      <c r="I503" s="18" t="e">
        <f>INDEX(M:M,MATCH(A502,O:O,0))</f>
        <v>#N/A</v>
      </c>
      <c r="J503" s="18" t="e">
        <f>INDEX(U:U,MATCH(A502,W:W,0))</f>
        <v>#N/A</v>
      </c>
      <c r="K503" s="19" t="s">
        <v>539</v>
      </c>
    </row>
    <row r="504" spans="1:11" x14ac:dyDescent="0.3">
      <c r="A504" t="s">
        <v>474</v>
      </c>
      <c r="B504" t="s">
        <v>131</v>
      </c>
      <c r="C504" t="s">
        <v>126</v>
      </c>
      <c r="D504" t="s">
        <v>19</v>
      </c>
      <c r="I504" s="17" t="e">
        <f>INDEX(N:N,MATCH(A504,O:O,0))/100</f>
        <v>#N/A</v>
      </c>
      <c r="J504" s="17" t="e">
        <f>INDEX(V:V,MATCH(A504,W:W,0))/100</f>
        <v>#N/A</v>
      </c>
      <c r="K504" s="18" t="s">
        <v>545</v>
      </c>
    </row>
    <row r="505" spans="1:11" x14ac:dyDescent="0.3">
      <c r="A505" t="s">
        <v>474</v>
      </c>
      <c r="B505" t="s">
        <v>131</v>
      </c>
      <c r="C505" t="s">
        <v>126</v>
      </c>
      <c r="D505" t="s">
        <v>19</v>
      </c>
      <c r="I505" s="18" t="e">
        <f>INDEX(M:M,MATCH(A504,O:O,0))</f>
        <v>#N/A</v>
      </c>
      <c r="J505" s="18" t="e">
        <f>INDEX(U:U,MATCH(A504,W:W,0))</f>
        <v>#N/A</v>
      </c>
      <c r="K505" s="19" t="s">
        <v>539</v>
      </c>
    </row>
    <row r="506" spans="1:11" x14ac:dyDescent="0.3">
      <c r="A506" t="s">
        <v>475</v>
      </c>
      <c r="B506" t="s">
        <v>131</v>
      </c>
      <c r="C506" t="s">
        <v>119</v>
      </c>
      <c r="D506" t="s">
        <v>19</v>
      </c>
      <c r="I506" s="17" t="e">
        <f>INDEX(N:N,MATCH(A506,O:O,0))/100</f>
        <v>#N/A</v>
      </c>
      <c r="J506" s="17" t="e">
        <f>INDEX(V:V,MATCH(A506,W:W,0))/100</f>
        <v>#N/A</v>
      </c>
      <c r="K506" s="18" t="s">
        <v>545</v>
      </c>
    </row>
    <row r="507" spans="1:11" x14ac:dyDescent="0.3">
      <c r="A507" t="s">
        <v>475</v>
      </c>
      <c r="B507" t="s">
        <v>131</v>
      </c>
      <c r="C507" t="s">
        <v>119</v>
      </c>
      <c r="D507" t="s">
        <v>19</v>
      </c>
      <c r="I507" s="18" t="e">
        <f>INDEX(M:M,MATCH(A506,O:O,0))</f>
        <v>#N/A</v>
      </c>
      <c r="J507" s="18" t="e">
        <f>INDEX(U:U,MATCH(A506,W:W,0))</f>
        <v>#N/A</v>
      </c>
      <c r="K507" s="19" t="s">
        <v>539</v>
      </c>
    </row>
    <row r="508" spans="1:11" x14ac:dyDescent="0.3">
      <c r="A508" t="s">
        <v>476</v>
      </c>
      <c r="B508" t="s">
        <v>131</v>
      </c>
      <c r="C508" t="s">
        <v>114</v>
      </c>
      <c r="D508" t="s">
        <v>19</v>
      </c>
      <c r="I508" s="17" t="e">
        <f>INDEX(N:N,MATCH(A508,O:O,0))/100</f>
        <v>#N/A</v>
      </c>
      <c r="J508" s="17" t="e">
        <f>INDEX(V:V,MATCH(A508,W:W,0))/100</f>
        <v>#N/A</v>
      </c>
      <c r="K508" s="18" t="s">
        <v>545</v>
      </c>
    </row>
    <row r="509" spans="1:11" x14ac:dyDescent="0.3">
      <c r="A509" t="s">
        <v>476</v>
      </c>
      <c r="B509" t="s">
        <v>131</v>
      </c>
      <c r="C509" t="s">
        <v>114</v>
      </c>
      <c r="D509" t="s">
        <v>19</v>
      </c>
      <c r="I509" s="18" t="e">
        <f>INDEX(M:M,MATCH(A508,O:O,0))</f>
        <v>#N/A</v>
      </c>
      <c r="J509" s="18" t="e">
        <f>INDEX(U:U,MATCH(A508,W:W,0))</f>
        <v>#N/A</v>
      </c>
      <c r="K509" s="19" t="s">
        <v>539</v>
      </c>
    </row>
    <row r="510" spans="1:11" x14ac:dyDescent="0.3">
      <c r="A510" t="s">
        <v>477</v>
      </c>
      <c r="B510" t="s">
        <v>131</v>
      </c>
      <c r="C510" t="s">
        <v>124</v>
      </c>
      <c r="D510" t="s">
        <v>19</v>
      </c>
      <c r="I510" s="17" t="e">
        <f>INDEX(N:N,MATCH(A510,O:O,0))/100</f>
        <v>#N/A</v>
      </c>
      <c r="J510" s="17" t="e">
        <f>INDEX(V:V,MATCH(A510,W:W,0))/100</f>
        <v>#N/A</v>
      </c>
      <c r="K510" s="18" t="s">
        <v>545</v>
      </c>
    </row>
    <row r="511" spans="1:11" x14ac:dyDescent="0.3">
      <c r="A511" t="s">
        <v>477</v>
      </c>
      <c r="B511" t="s">
        <v>131</v>
      </c>
      <c r="C511" t="s">
        <v>124</v>
      </c>
      <c r="D511" t="s">
        <v>19</v>
      </c>
      <c r="I511" s="18" t="e">
        <f>INDEX(M:M,MATCH(A510,O:O,0))</f>
        <v>#N/A</v>
      </c>
      <c r="J511" s="18" t="e">
        <f>INDEX(U:U,MATCH(A510,W:W,0))</f>
        <v>#N/A</v>
      </c>
      <c r="K511" s="19" t="s">
        <v>539</v>
      </c>
    </row>
    <row r="512" spans="1:11" x14ac:dyDescent="0.3">
      <c r="A512" t="s">
        <v>478</v>
      </c>
      <c r="B512" t="s">
        <v>131</v>
      </c>
      <c r="C512" t="s">
        <v>122</v>
      </c>
      <c r="D512" t="s">
        <v>21</v>
      </c>
      <c r="I512" s="17" t="e">
        <f>INDEX(N:N,MATCH(A512,O:O,0))/100</f>
        <v>#N/A</v>
      </c>
      <c r="J512" s="17" t="e">
        <f>INDEX(V:V,MATCH(A512,W:W,0))/100</f>
        <v>#N/A</v>
      </c>
      <c r="K512" s="18" t="s">
        <v>545</v>
      </c>
    </row>
    <row r="513" spans="1:11" x14ac:dyDescent="0.3">
      <c r="A513" t="s">
        <v>478</v>
      </c>
      <c r="B513" t="s">
        <v>131</v>
      </c>
      <c r="C513" t="s">
        <v>122</v>
      </c>
      <c r="D513" t="s">
        <v>21</v>
      </c>
      <c r="I513" s="18" t="e">
        <f>INDEX(M:M,MATCH(A512,O:O,0))</f>
        <v>#N/A</v>
      </c>
      <c r="J513" s="18" t="e">
        <f>INDEX(U:U,MATCH(A512,W:W,0))</f>
        <v>#N/A</v>
      </c>
      <c r="K513" s="19" t="s">
        <v>539</v>
      </c>
    </row>
    <row r="514" spans="1:11" x14ac:dyDescent="0.3">
      <c r="A514" t="s">
        <v>479</v>
      </c>
      <c r="B514" t="s">
        <v>131</v>
      </c>
      <c r="C514" t="s">
        <v>126</v>
      </c>
      <c r="D514" t="s">
        <v>21</v>
      </c>
      <c r="I514" s="17" t="e">
        <f>INDEX(N:N,MATCH(A514,O:O,0))/100</f>
        <v>#N/A</v>
      </c>
      <c r="J514" s="17" t="e">
        <f>INDEX(V:V,MATCH(A514,W:W,0))/100</f>
        <v>#N/A</v>
      </c>
      <c r="K514" s="18" t="s">
        <v>545</v>
      </c>
    </row>
    <row r="515" spans="1:11" x14ac:dyDescent="0.3">
      <c r="A515" t="s">
        <v>479</v>
      </c>
      <c r="B515" t="s">
        <v>131</v>
      </c>
      <c r="C515" t="s">
        <v>126</v>
      </c>
      <c r="D515" t="s">
        <v>21</v>
      </c>
      <c r="I515" s="18" t="e">
        <f>INDEX(M:M,MATCH(A514,O:O,0))</f>
        <v>#N/A</v>
      </c>
      <c r="J515" s="18" t="e">
        <f>INDEX(U:U,MATCH(A514,W:W,0))</f>
        <v>#N/A</v>
      </c>
      <c r="K515" s="19" t="s">
        <v>539</v>
      </c>
    </row>
    <row r="516" spans="1:11" x14ac:dyDescent="0.3">
      <c r="A516" t="s">
        <v>480</v>
      </c>
      <c r="B516" t="s">
        <v>131</v>
      </c>
      <c r="C516" t="s">
        <v>119</v>
      </c>
      <c r="D516" t="s">
        <v>21</v>
      </c>
      <c r="I516" s="17" t="e">
        <f>INDEX(N:N,MATCH(A516,O:O,0))/100</f>
        <v>#N/A</v>
      </c>
      <c r="J516" s="17" t="e">
        <f>INDEX(V:V,MATCH(A516,W:W,0))/100</f>
        <v>#N/A</v>
      </c>
      <c r="K516" s="18" t="s">
        <v>545</v>
      </c>
    </row>
    <row r="517" spans="1:11" x14ac:dyDescent="0.3">
      <c r="A517" t="s">
        <v>480</v>
      </c>
      <c r="B517" t="s">
        <v>131</v>
      </c>
      <c r="C517" t="s">
        <v>119</v>
      </c>
      <c r="D517" t="s">
        <v>21</v>
      </c>
      <c r="I517" s="18" t="e">
        <f>INDEX(M:M,MATCH(A516,O:O,0))</f>
        <v>#N/A</v>
      </c>
      <c r="J517" s="18" t="e">
        <f>INDEX(U:U,MATCH(A516,W:W,0))</f>
        <v>#N/A</v>
      </c>
      <c r="K517" s="19" t="s">
        <v>539</v>
      </c>
    </row>
    <row r="518" spans="1:11" x14ac:dyDescent="0.3">
      <c r="A518" t="s">
        <v>481</v>
      </c>
      <c r="B518" t="s">
        <v>131</v>
      </c>
      <c r="C518" t="s">
        <v>114</v>
      </c>
      <c r="D518" t="s">
        <v>21</v>
      </c>
      <c r="I518" s="17" t="e">
        <f>INDEX(N:N,MATCH(A518,O:O,0))/100</f>
        <v>#N/A</v>
      </c>
      <c r="J518" s="17" t="e">
        <f>INDEX(V:V,MATCH(A518,W:W,0))/100</f>
        <v>#N/A</v>
      </c>
      <c r="K518" s="18" t="s">
        <v>545</v>
      </c>
    </row>
    <row r="519" spans="1:11" x14ac:dyDescent="0.3">
      <c r="A519" t="s">
        <v>481</v>
      </c>
      <c r="B519" t="s">
        <v>131</v>
      </c>
      <c r="C519" t="s">
        <v>114</v>
      </c>
      <c r="D519" t="s">
        <v>21</v>
      </c>
      <c r="I519" s="18" t="e">
        <f>INDEX(M:M,MATCH(A518,O:O,0))</f>
        <v>#N/A</v>
      </c>
      <c r="J519" s="18" t="e">
        <f>INDEX(U:U,MATCH(A518,W:W,0))</f>
        <v>#N/A</v>
      </c>
      <c r="K519" s="19" t="s">
        <v>539</v>
      </c>
    </row>
    <row r="520" spans="1:11" x14ac:dyDescent="0.3">
      <c r="A520" t="s">
        <v>482</v>
      </c>
      <c r="B520" t="s">
        <v>131</v>
      </c>
      <c r="C520" t="s">
        <v>124</v>
      </c>
      <c r="D520" t="s">
        <v>21</v>
      </c>
      <c r="I520" s="17" t="e">
        <f>INDEX(N:N,MATCH(A520,O:O,0))/100</f>
        <v>#N/A</v>
      </c>
      <c r="J520" s="17" t="e">
        <f>INDEX(V:V,MATCH(A520,W:W,0))/100</f>
        <v>#N/A</v>
      </c>
      <c r="K520" s="18" t="s">
        <v>545</v>
      </c>
    </row>
    <row r="521" spans="1:11" x14ac:dyDescent="0.3">
      <c r="A521" t="s">
        <v>482</v>
      </c>
      <c r="B521" t="s">
        <v>131</v>
      </c>
      <c r="C521" t="s">
        <v>124</v>
      </c>
      <c r="D521" t="s">
        <v>21</v>
      </c>
      <c r="I521" s="18" t="e">
        <f>INDEX(M:M,MATCH(A520,O:O,0))</f>
        <v>#N/A</v>
      </c>
      <c r="J521" s="18" t="e">
        <f>INDEX(U:U,MATCH(A520,W:W,0))</f>
        <v>#N/A</v>
      </c>
      <c r="K521" s="19" t="s">
        <v>539</v>
      </c>
    </row>
    <row r="522" spans="1:11" x14ac:dyDescent="0.3">
      <c r="A522" t="s">
        <v>483</v>
      </c>
      <c r="B522" t="s">
        <v>131</v>
      </c>
      <c r="C522" t="s">
        <v>122</v>
      </c>
      <c r="D522" t="s">
        <v>16</v>
      </c>
      <c r="I522" s="17" t="e">
        <f>INDEX(N:N,MATCH(A522,O:O,0))/100</f>
        <v>#N/A</v>
      </c>
      <c r="J522" s="17" t="e">
        <f>INDEX(V:V,MATCH(A522,W:W,0))/100</f>
        <v>#N/A</v>
      </c>
      <c r="K522" s="18" t="s">
        <v>545</v>
      </c>
    </row>
    <row r="523" spans="1:11" x14ac:dyDescent="0.3">
      <c r="A523" t="s">
        <v>483</v>
      </c>
      <c r="B523" t="s">
        <v>131</v>
      </c>
      <c r="C523" t="s">
        <v>122</v>
      </c>
      <c r="D523" t="s">
        <v>16</v>
      </c>
      <c r="I523" s="18" t="e">
        <f>INDEX(M:M,MATCH(A522,O:O,0))</f>
        <v>#N/A</v>
      </c>
      <c r="J523" s="18" t="e">
        <f>INDEX(U:U,MATCH(A522,W:W,0))</f>
        <v>#N/A</v>
      </c>
      <c r="K523" s="19" t="s">
        <v>539</v>
      </c>
    </row>
    <row r="524" spans="1:11" x14ac:dyDescent="0.3">
      <c r="A524" t="s">
        <v>484</v>
      </c>
      <c r="B524" t="s">
        <v>131</v>
      </c>
      <c r="C524" t="s">
        <v>126</v>
      </c>
      <c r="D524" t="s">
        <v>16</v>
      </c>
      <c r="I524" s="17" t="e">
        <f>INDEX(N:N,MATCH(A524,O:O,0))/100</f>
        <v>#N/A</v>
      </c>
      <c r="J524" s="17" t="e">
        <f>INDEX(V:V,MATCH(A524,W:W,0))/100</f>
        <v>#N/A</v>
      </c>
      <c r="K524" s="18" t="s">
        <v>545</v>
      </c>
    </row>
    <row r="525" spans="1:11" x14ac:dyDescent="0.3">
      <c r="A525" t="s">
        <v>484</v>
      </c>
      <c r="B525" t="s">
        <v>131</v>
      </c>
      <c r="C525" t="s">
        <v>126</v>
      </c>
      <c r="D525" t="s">
        <v>16</v>
      </c>
      <c r="I525" s="18" t="e">
        <f>INDEX(M:M,MATCH(A524,O:O,0))</f>
        <v>#N/A</v>
      </c>
      <c r="J525" s="18" t="e">
        <f>INDEX(U:U,MATCH(A524,W:W,0))</f>
        <v>#N/A</v>
      </c>
      <c r="K525" s="19" t="s">
        <v>539</v>
      </c>
    </row>
    <row r="526" spans="1:11" x14ac:dyDescent="0.3">
      <c r="A526" t="s">
        <v>485</v>
      </c>
      <c r="B526" t="s">
        <v>131</v>
      </c>
      <c r="C526" t="s">
        <v>119</v>
      </c>
      <c r="D526" t="s">
        <v>16</v>
      </c>
      <c r="I526" s="17" t="e">
        <f>INDEX(N:N,MATCH(A526,O:O,0))/100</f>
        <v>#N/A</v>
      </c>
      <c r="J526" s="17" t="e">
        <f>INDEX(V:V,MATCH(A526,W:W,0))/100</f>
        <v>#N/A</v>
      </c>
      <c r="K526" s="18" t="s">
        <v>545</v>
      </c>
    </row>
    <row r="527" spans="1:11" x14ac:dyDescent="0.3">
      <c r="A527" t="s">
        <v>485</v>
      </c>
      <c r="B527" t="s">
        <v>131</v>
      </c>
      <c r="C527" t="s">
        <v>119</v>
      </c>
      <c r="D527" t="s">
        <v>16</v>
      </c>
      <c r="I527" s="18" t="e">
        <f>INDEX(M:M,MATCH(A526,O:O,0))</f>
        <v>#N/A</v>
      </c>
      <c r="J527" s="18" t="e">
        <f>INDEX(U:U,MATCH(A526,W:W,0))</f>
        <v>#N/A</v>
      </c>
      <c r="K527" s="19" t="s">
        <v>539</v>
      </c>
    </row>
    <row r="528" spans="1:11" x14ac:dyDescent="0.3">
      <c r="A528" t="s">
        <v>486</v>
      </c>
      <c r="B528" t="s">
        <v>131</v>
      </c>
      <c r="C528" t="s">
        <v>114</v>
      </c>
      <c r="D528" t="s">
        <v>16</v>
      </c>
      <c r="I528" s="17" t="e">
        <f>INDEX(N:N,MATCH(A528,O:O,0))/100</f>
        <v>#N/A</v>
      </c>
      <c r="J528" s="17" t="e">
        <f>INDEX(V:V,MATCH(A528,W:W,0))/100</f>
        <v>#N/A</v>
      </c>
      <c r="K528" s="18" t="s">
        <v>545</v>
      </c>
    </row>
    <row r="529" spans="1:11" x14ac:dyDescent="0.3">
      <c r="A529" t="s">
        <v>486</v>
      </c>
      <c r="B529" t="s">
        <v>131</v>
      </c>
      <c r="C529" t="s">
        <v>114</v>
      </c>
      <c r="D529" t="s">
        <v>16</v>
      </c>
      <c r="I529" s="18" t="e">
        <f>INDEX(M:M,MATCH(A528,O:O,0))</f>
        <v>#N/A</v>
      </c>
      <c r="J529" s="18" t="e">
        <f>INDEX(U:U,MATCH(A528,W:W,0))</f>
        <v>#N/A</v>
      </c>
      <c r="K529" s="19" t="s">
        <v>539</v>
      </c>
    </row>
    <row r="530" spans="1:11" x14ac:dyDescent="0.3">
      <c r="A530" t="s">
        <v>487</v>
      </c>
      <c r="B530" t="s">
        <v>131</v>
      </c>
      <c r="C530" t="s">
        <v>124</v>
      </c>
      <c r="D530" t="s">
        <v>16</v>
      </c>
      <c r="I530" s="17" t="e">
        <f>INDEX(N:N,MATCH(A530,O:O,0))/100</f>
        <v>#N/A</v>
      </c>
      <c r="J530" s="17" t="e">
        <f>INDEX(V:V,MATCH(A530,W:W,0))/100</f>
        <v>#N/A</v>
      </c>
      <c r="K530" s="18" t="s">
        <v>545</v>
      </c>
    </row>
    <row r="531" spans="1:11" x14ac:dyDescent="0.3">
      <c r="A531" t="s">
        <v>487</v>
      </c>
      <c r="B531" t="s">
        <v>131</v>
      </c>
      <c r="C531" t="s">
        <v>124</v>
      </c>
      <c r="D531" t="s">
        <v>16</v>
      </c>
      <c r="I531" s="18" t="e">
        <f>INDEX(M:M,MATCH(A530,O:O,0))</f>
        <v>#N/A</v>
      </c>
      <c r="J531" s="18" t="e">
        <f>INDEX(U:U,MATCH(A530,W:W,0))</f>
        <v>#N/A</v>
      </c>
      <c r="K531" s="19" t="s">
        <v>539</v>
      </c>
    </row>
    <row r="532" spans="1:11" x14ac:dyDescent="0.3">
      <c r="A532" t="s">
        <v>488</v>
      </c>
      <c r="B532" t="s">
        <v>131</v>
      </c>
      <c r="C532" t="s">
        <v>122</v>
      </c>
      <c r="D532" t="s">
        <v>34</v>
      </c>
      <c r="I532" s="17" t="e">
        <f>INDEX(N:N,MATCH(A532,O:O,0))/100</f>
        <v>#N/A</v>
      </c>
      <c r="J532" s="17" t="e">
        <f>INDEX(V:V,MATCH(A532,W:W,0))/100</f>
        <v>#N/A</v>
      </c>
      <c r="K532" s="18" t="s">
        <v>545</v>
      </c>
    </row>
    <row r="533" spans="1:11" x14ac:dyDescent="0.3">
      <c r="A533" t="s">
        <v>488</v>
      </c>
      <c r="B533" t="s">
        <v>131</v>
      </c>
      <c r="C533" t="s">
        <v>122</v>
      </c>
      <c r="D533" t="s">
        <v>34</v>
      </c>
      <c r="I533" s="18" t="e">
        <f>INDEX(M:M,MATCH(A532,O:O,0))</f>
        <v>#N/A</v>
      </c>
      <c r="J533" s="18" t="e">
        <f>INDEX(U:U,MATCH(A532,W:W,0))</f>
        <v>#N/A</v>
      </c>
      <c r="K533" s="19" t="s">
        <v>539</v>
      </c>
    </row>
    <row r="534" spans="1:11" x14ac:dyDescent="0.3">
      <c r="A534" t="s">
        <v>489</v>
      </c>
      <c r="B534" t="s">
        <v>131</v>
      </c>
      <c r="C534" t="s">
        <v>126</v>
      </c>
      <c r="D534" t="s">
        <v>34</v>
      </c>
      <c r="I534" s="17" t="e">
        <f>INDEX(N:N,MATCH(A534,O:O,0))/100</f>
        <v>#N/A</v>
      </c>
      <c r="J534" s="17" t="e">
        <f>INDEX(V:V,MATCH(A534,W:W,0))/100</f>
        <v>#N/A</v>
      </c>
      <c r="K534" s="18" t="s">
        <v>545</v>
      </c>
    </row>
    <row r="535" spans="1:11" x14ac:dyDescent="0.3">
      <c r="A535" t="s">
        <v>489</v>
      </c>
      <c r="B535" t="s">
        <v>131</v>
      </c>
      <c r="C535" t="s">
        <v>126</v>
      </c>
      <c r="D535" t="s">
        <v>34</v>
      </c>
      <c r="I535" s="18" t="e">
        <f>INDEX(M:M,MATCH(A534,O:O,0))</f>
        <v>#N/A</v>
      </c>
      <c r="J535" s="18" t="e">
        <f>INDEX(U:U,MATCH(A534,W:W,0))</f>
        <v>#N/A</v>
      </c>
      <c r="K535" s="19" t="s">
        <v>539</v>
      </c>
    </row>
    <row r="536" spans="1:11" x14ac:dyDescent="0.3">
      <c r="A536" t="s">
        <v>490</v>
      </c>
      <c r="B536" t="s">
        <v>131</v>
      </c>
      <c r="C536" t="s">
        <v>119</v>
      </c>
      <c r="D536" t="s">
        <v>34</v>
      </c>
      <c r="I536" s="17" t="e">
        <f>INDEX(N:N,MATCH(A536,O:O,0))/100</f>
        <v>#N/A</v>
      </c>
      <c r="J536" s="17" t="e">
        <f>INDEX(V:V,MATCH(A536,W:W,0))/100</f>
        <v>#N/A</v>
      </c>
      <c r="K536" s="18" t="s">
        <v>545</v>
      </c>
    </row>
    <row r="537" spans="1:11" x14ac:dyDescent="0.3">
      <c r="A537" t="s">
        <v>490</v>
      </c>
      <c r="B537" t="s">
        <v>131</v>
      </c>
      <c r="C537" t="s">
        <v>119</v>
      </c>
      <c r="D537" t="s">
        <v>34</v>
      </c>
      <c r="I537" s="18" t="e">
        <f>INDEX(M:M,MATCH(A536,O:O,0))</f>
        <v>#N/A</v>
      </c>
      <c r="J537" s="18" t="e">
        <f>INDEX(U:U,MATCH(A536,W:W,0))</f>
        <v>#N/A</v>
      </c>
      <c r="K537" s="19" t="s">
        <v>539</v>
      </c>
    </row>
    <row r="538" spans="1:11" x14ac:dyDescent="0.3">
      <c r="A538" t="s">
        <v>491</v>
      </c>
      <c r="B538" t="s">
        <v>131</v>
      </c>
      <c r="C538" t="s">
        <v>114</v>
      </c>
      <c r="D538" t="s">
        <v>34</v>
      </c>
      <c r="I538" s="17" t="e">
        <f>INDEX(N:N,MATCH(A538,O:O,0))/100</f>
        <v>#N/A</v>
      </c>
      <c r="J538" s="17" t="e">
        <f>INDEX(V:V,MATCH(A538,W:W,0))/100</f>
        <v>#N/A</v>
      </c>
      <c r="K538" s="18" t="s">
        <v>545</v>
      </c>
    </row>
    <row r="539" spans="1:11" x14ac:dyDescent="0.3">
      <c r="A539" t="s">
        <v>491</v>
      </c>
      <c r="B539" t="s">
        <v>131</v>
      </c>
      <c r="C539" t="s">
        <v>114</v>
      </c>
      <c r="D539" t="s">
        <v>34</v>
      </c>
      <c r="I539" s="18" t="e">
        <f>INDEX(M:M,MATCH(A538,O:O,0))</f>
        <v>#N/A</v>
      </c>
      <c r="J539" s="18" t="e">
        <f>INDEX(U:U,MATCH(A538,W:W,0))</f>
        <v>#N/A</v>
      </c>
      <c r="K539" s="19" t="s">
        <v>539</v>
      </c>
    </row>
    <row r="540" spans="1:11" x14ac:dyDescent="0.3">
      <c r="A540" t="s">
        <v>492</v>
      </c>
      <c r="B540" t="s">
        <v>131</v>
      </c>
      <c r="C540" t="s">
        <v>124</v>
      </c>
      <c r="D540" t="s">
        <v>34</v>
      </c>
      <c r="I540" s="17" t="e">
        <f>INDEX(N:N,MATCH(A540,O:O,0))/100</f>
        <v>#N/A</v>
      </c>
      <c r="J540" s="17" t="e">
        <f>INDEX(V:V,MATCH(A540,W:W,0))/100</f>
        <v>#N/A</v>
      </c>
      <c r="K540" s="18" t="s">
        <v>545</v>
      </c>
    </row>
    <row r="541" spans="1:11" x14ac:dyDescent="0.3">
      <c r="A541" t="s">
        <v>492</v>
      </c>
      <c r="B541" t="s">
        <v>131</v>
      </c>
      <c r="C541" t="s">
        <v>124</v>
      </c>
      <c r="D541" t="s">
        <v>34</v>
      </c>
      <c r="I541" s="18" t="e">
        <f>INDEX(M:M,MATCH(A540,O:O,0))</f>
        <v>#N/A</v>
      </c>
      <c r="J541" s="18" t="e">
        <f>INDEX(U:U,MATCH(A540,W:W,0))</f>
        <v>#N/A</v>
      </c>
      <c r="K541" s="19" t="s">
        <v>539</v>
      </c>
    </row>
    <row r="542" spans="1:11" x14ac:dyDescent="0.3">
      <c r="A542" t="s">
        <v>493</v>
      </c>
      <c r="B542" t="s">
        <v>131</v>
      </c>
      <c r="C542" t="s">
        <v>122</v>
      </c>
      <c r="D542" t="s">
        <v>22</v>
      </c>
      <c r="I542" s="17" t="e">
        <f>INDEX(N:N,MATCH(A542,O:O,0))/100</f>
        <v>#N/A</v>
      </c>
      <c r="J542" s="17" t="e">
        <f>INDEX(V:V,MATCH(A542,W:W,0))/100</f>
        <v>#N/A</v>
      </c>
      <c r="K542" s="18" t="s">
        <v>545</v>
      </c>
    </row>
    <row r="543" spans="1:11" x14ac:dyDescent="0.3">
      <c r="A543" t="s">
        <v>493</v>
      </c>
      <c r="B543" t="s">
        <v>131</v>
      </c>
      <c r="C543" t="s">
        <v>122</v>
      </c>
      <c r="D543" t="s">
        <v>22</v>
      </c>
      <c r="I543" s="18" t="e">
        <f>INDEX(M:M,MATCH(A542,O:O,0))</f>
        <v>#N/A</v>
      </c>
      <c r="J543" s="18" t="e">
        <f>INDEX(U:U,MATCH(A542,W:W,0))</f>
        <v>#N/A</v>
      </c>
      <c r="K543" s="19" t="s">
        <v>539</v>
      </c>
    </row>
    <row r="544" spans="1:11" x14ac:dyDescent="0.3">
      <c r="A544" t="s">
        <v>494</v>
      </c>
      <c r="B544" t="s">
        <v>131</v>
      </c>
      <c r="C544" t="s">
        <v>126</v>
      </c>
      <c r="D544" t="s">
        <v>22</v>
      </c>
      <c r="I544" s="17" t="e">
        <f>INDEX(N:N,MATCH(A544,O:O,0))/100</f>
        <v>#N/A</v>
      </c>
      <c r="J544" s="17" t="e">
        <f>INDEX(V:V,MATCH(A544,W:W,0))/100</f>
        <v>#N/A</v>
      </c>
      <c r="K544" s="18" t="s">
        <v>545</v>
      </c>
    </row>
    <row r="545" spans="1:11" x14ac:dyDescent="0.3">
      <c r="A545" t="s">
        <v>494</v>
      </c>
      <c r="B545" t="s">
        <v>131</v>
      </c>
      <c r="C545" t="s">
        <v>126</v>
      </c>
      <c r="D545" t="s">
        <v>22</v>
      </c>
      <c r="I545" s="18" t="e">
        <f>INDEX(M:M,MATCH(A544,O:O,0))</f>
        <v>#N/A</v>
      </c>
      <c r="J545" s="18" t="e">
        <f>INDEX(U:U,MATCH(A544,W:W,0))</f>
        <v>#N/A</v>
      </c>
      <c r="K545" s="19" t="s">
        <v>539</v>
      </c>
    </row>
    <row r="546" spans="1:11" x14ac:dyDescent="0.3">
      <c r="A546" t="s">
        <v>495</v>
      </c>
      <c r="B546" t="s">
        <v>131</v>
      </c>
      <c r="C546" t="s">
        <v>119</v>
      </c>
      <c r="D546" t="s">
        <v>22</v>
      </c>
      <c r="I546" s="17" t="e">
        <f>INDEX(N:N,MATCH(A546,O:O,0))/100</f>
        <v>#N/A</v>
      </c>
      <c r="J546" s="17" t="e">
        <f>INDEX(V:V,MATCH(A546,W:W,0))/100</f>
        <v>#N/A</v>
      </c>
      <c r="K546" s="18" t="s">
        <v>545</v>
      </c>
    </row>
    <row r="547" spans="1:11" x14ac:dyDescent="0.3">
      <c r="A547" t="s">
        <v>495</v>
      </c>
      <c r="B547" t="s">
        <v>131</v>
      </c>
      <c r="C547" t="s">
        <v>119</v>
      </c>
      <c r="D547" t="s">
        <v>22</v>
      </c>
      <c r="I547" s="18" t="e">
        <f>INDEX(M:M,MATCH(A546,O:O,0))</f>
        <v>#N/A</v>
      </c>
      <c r="J547" s="18" t="e">
        <f>INDEX(U:U,MATCH(A546,W:W,0))</f>
        <v>#N/A</v>
      </c>
      <c r="K547" s="19" t="s">
        <v>539</v>
      </c>
    </row>
    <row r="548" spans="1:11" x14ac:dyDescent="0.3">
      <c r="A548" t="s">
        <v>496</v>
      </c>
      <c r="B548" t="s">
        <v>131</v>
      </c>
      <c r="C548" t="s">
        <v>114</v>
      </c>
      <c r="D548" t="s">
        <v>22</v>
      </c>
      <c r="I548" s="17" t="e">
        <f>INDEX(N:N,MATCH(A548,O:O,0))/100</f>
        <v>#N/A</v>
      </c>
      <c r="J548" s="17" t="e">
        <f>INDEX(V:V,MATCH(A548,W:W,0))/100</f>
        <v>#N/A</v>
      </c>
      <c r="K548" s="18" t="s">
        <v>545</v>
      </c>
    </row>
    <row r="549" spans="1:11" x14ac:dyDescent="0.3">
      <c r="A549" t="s">
        <v>496</v>
      </c>
      <c r="B549" t="s">
        <v>131</v>
      </c>
      <c r="C549" t="s">
        <v>114</v>
      </c>
      <c r="D549" t="s">
        <v>22</v>
      </c>
      <c r="I549" s="18" t="e">
        <f>INDEX(M:M,MATCH(A548,O:O,0))</f>
        <v>#N/A</v>
      </c>
      <c r="J549" s="18" t="e">
        <f>INDEX(U:U,MATCH(A548,W:W,0))</f>
        <v>#N/A</v>
      </c>
      <c r="K549" s="19" t="s">
        <v>539</v>
      </c>
    </row>
    <row r="550" spans="1:11" x14ac:dyDescent="0.3">
      <c r="A550" t="s">
        <v>497</v>
      </c>
      <c r="B550" t="s">
        <v>131</v>
      </c>
      <c r="C550" t="s">
        <v>124</v>
      </c>
      <c r="D550" t="s">
        <v>22</v>
      </c>
      <c r="I550" s="17" t="e">
        <f>INDEX(N:N,MATCH(A550,O:O,0))/100</f>
        <v>#N/A</v>
      </c>
      <c r="J550" s="17" t="e">
        <f>INDEX(V:V,MATCH(A550,W:W,0))/100</f>
        <v>#N/A</v>
      </c>
      <c r="K550" s="18" t="s">
        <v>545</v>
      </c>
    </row>
    <row r="551" spans="1:11" x14ac:dyDescent="0.3">
      <c r="A551" t="s">
        <v>497</v>
      </c>
      <c r="B551" t="s">
        <v>131</v>
      </c>
      <c r="C551" t="s">
        <v>124</v>
      </c>
      <c r="D551" t="s">
        <v>22</v>
      </c>
      <c r="I551" s="18" t="e">
        <f>INDEX(M:M,MATCH(A550,O:O,0))</f>
        <v>#N/A</v>
      </c>
      <c r="J551" s="18" t="e">
        <f>INDEX(U:U,MATCH(A550,W:W,0))</f>
        <v>#N/A</v>
      </c>
      <c r="K551" s="19" t="s">
        <v>539</v>
      </c>
    </row>
    <row r="552" spans="1:11" x14ac:dyDescent="0.3">
      <c r="A552" t="s">
        <v>498</v>
      </c>
      <c r="B552" t="s">
        <v>131</v>
      </c>
      <c r="C552" t="s">
        <v>122</v>
      </c>
      <c r="D552" t="s">
        <v>17</v>
      </c>
      <c r="I552" s="17" t="e">
        <f>INDEX(N:N,MATCH(A552,O:O,0))/100</f>
        <v>#N/A</v>
      </c>
      <c r="J552" s="17" t="e">
        <f>INDEX(V:V,MATCH(A552,W:W,0))/100</f>
        <v>#N/A</v>
      </c>
      <c r="K552" s="18" t="s">
        <v>545</v>
      </c>
    </row>
    <row r="553" spans="1:11" x14ac:dyDescent="0.3">
      <c r="A553" t="s">
        <v>498</v>
      </c>
      <c r="B553" t="s">
        <v>131</v>
      </c>
      <c r="C553" t="s">
        <v>122</v>
      </c>
      <c r="D553" t="s">
        <v>17</v>
      </c>
      <c r="I553" s="18" t="e">
        <f>INDEX(M:M,MATCH(A552,O:O,0))</f>
        <v>#N/A</v>
      </c>
      <c r="J553" s="18" t="e">
        <f>INDEX(U:U,MATCH(A552,W:W,0))</f>
        <v>#N/A</v>
      </c>
      <c r="K553" s="19" t="s">
        <v>539</v>
      </c>
    </row>
    <row r="554" spans="1:11" x14ac:dyDescent="0.3">
      <c r="A554" t="s">
        <v>499</v>
      </c>
      <c r="B554" t="s">
        <v>131</v>
      </c>
      <c r="C554" t="s">
        <v>126</v>
      </c>
      <c r="D554" t="s">
        <v>17</v>
      </c>
      <c r="I554" s="17" t="e">
        <f>INDEX(N:N,MATCH(A554,O:O,0))/100</f>
        <v>#N/A</v>
      </c>
      <c r="J554" s="17" t="e">
        <f>INDEX(V:V,MATCH(A554,W:W,0))/100</f>
        <v>#N/A</v>
      </c>
      <c r="K554" s="18" t="s">
        <v>545</v>
      </c>
    </row>
    <row r="555" spans="1:11" x14ac:dyDescent="0.3">
      <c r="A555" t="s">
        <v>499</v>
      </c>
      <c r="B555" t="s">
        <v>131</v>
      </c>
      <c r="C555" t="s">
        <v>126</v>
      </c>
      <c r="D555" t="s">
        <v>17</v>
      </c>
      <c r="I555" s="18" t="e">
        <f>INDEX(M:M,MATCH(A554,O:O,0))</f>
        <v>#N/A</v>
      </c>
      <c r="J555" s="18" t="e">
        <f>INDEX(U:U,MATCH(A554,W:W,0))</f>
        <v>#N/A</v>
      </c>
      <c r="K555" s="19" t="s">
        <v>539</v>
      </c>
    </row>
    <row r="556" spans="1:11" x14ac:dyDescent="0.3">
      <c r="A556" t="s">
        <v>500</v>
      </c>
      <c r="B556" t="s">
        <v>131</v>
      </c>
      <c r="C556" t="s">
        <v>119</v>
      </c>
      <c r="D556" t="s">
        <v>17</v>
      </c>
      <c r="I556" s="17" t="e">
        <f>INDEX(N:N,MATCH(A556,O:O,0))/100</f>
        <v>#N/A</v>
      </c>
      <c r="J556" s="17" t="e">
        <f>INDEX(V:V,MATCH(A556,W:W,0))/100</f>
        <v>#N/A</v>
      </c>
      <c r="K556" s="18" t="s">
        <v>545</v>
      </c>
    </row>
    <row r="557" spans="1:11" x14ac:dyDescent="0.3">
      <c r="A557" t="s">
        <v>500</v>
      </c>
      <c r="B557" t="s">
        <v>131</v>
      </c>
      <c r="C557" t="s">
        <v>119</v>
      </c>
      <c r="D557" t="s">
        <v>17</v>
      </c>
      <c r="I557" s="18" t="e">
        <f>INDEX(M:M,MATCH(A556,O:O,0))</f>
        <v>#N/A</v>
      </c>
      <c r="J557" s="18" t="e">
        <f>INDEX(U:U,MATCH(A556,W:W,0))</f>
        <v>#N/A</v>
      </c>
      <c r="K557" s="19" t="s">
        <v>539</v>
      </c>
    </row>
    <row r="558" spans="1:11" x14ac:dyDescent="0.3">
      <c r="A558" t="s">
        <v>501</v>
      </c>
      <c r="B558" t="s">
        <v>131</v>
      </c>
      <c r="C558" t="s">
        <v>114</v>
      </c>
      <c r="D558" t="s">
        <v>17</v>
      </c>
      <c r="I558" s="17" t="e">
        <f>INDEX(N:N,MATCH(A558,O:O,0))/100</f>
        <v>#N/A</v>
      </c>
      <c r="J558" s="17" t="e">
        <f>INDEX(V:V,MATCH(A558,W:W,0))/100</f>
        <v>#N/A</v>
      </c>
      <c r="K558" s="18" t="s">
        <v>545</v>
      </c>
    </row>
    <row r="559" spans="1:11" x14ac:dyDescent="0.3">
      <c r="A559" t="s">
        <v>501</v>
      </c>
      <c r="B559" t="s">
        <v>131</v>
      </c>
      <c r="C559" t="s">
        <v>114</v>
      </c>
      <c r="D559" t="s">
        <v>17</v>
      </c>
      <c r="I559" s="18" t="e">
        <f>INDEX(M:M,MATCH(A558,O:O,0))</f>
        <v>#N/A</v>
      </c>
      <c r="J559" s="18" t="e">
        <f>INDEX(U:U,MATCH(A558,W:W,0))</f>
        <v>#N/A</v>
      </c>
      <c r="K559" s="19" t="s">
        <v>539</v>
      </c>
    </row>
    <row r="560" spans="1:11" x14ac:dyDescent="0.3">
      <c r="A560" t="s">
        <v>502</v>
      </c>
      <c r="B560" t="s">
        <v>131</v>
      </c>
      <c r="C560" t="s">
        <v>124</v>
      </c>
      <c r="D560" t="s">
        <v>17</v>
      </c>
      <c r="I560" s="17" t="e">
        <f>INDEX(N:N,MATCH(A560,O:O,0))/100</f>
        <v>#N/A</v>
      </c>
      <c r="J560" s="17" t="e">
        <f>INDEX(V:V,MATCH(A560,W:W,0))/100</f>
        <v>#N/A</v>
      </c>
      <c r="K560" s="18" t="s">
        <v>545</v>
      </c>
    </row>
    <row r="561" spans="1:11" x14ac:dyDescent="0.3">
      <c r="A561" t="s">
        <v>502</v>
      </c>
      <c r="B561" t="s">
        <v>131</v>
      </c>
      <c r="C561" t="s">
        <v>124</v>
      </c>
      <c r="D561" t="s">
        <v>17</v>
      </c>
      <c r="I561" s="18" t="e">
        <f>INDEX(M:M,MATCH(A560,O:O,0))</f>
        <v>#N/A</v>
      </c>
      <c r="J561" s="18" t="e">
        <f>INDEX(U:U,MATCH(A560,W:W,0))</f>
        <v>#N/A</v>
      </c>
      <c r="K561" s="19" t="s">
        <v>539</v>
      </c>
    </row>
    <row r="562" spans="1:11" x14ac:dyDescent="0.3">
      <c r="A562" t="s">
        <v>503</v>
      </c>
      <c r="B562" t="s">
        <v>131</v>
      </c>
      <c r="C562" t="s">
        <v>122</v>
      </c>
      <c r="D562" t="s">
        <v>12</v>
      </c>
      <c r="I562" s="17" t="e">
        <f>INDEX(N:N,MATCH(A562,O:O,0))/100</f>
        <v>#N/A</v>
      </c>
      <c r="J562" s="17" t="e">
        <f>INDEX(V:V,MATCH(A562,W:W,0))/100</f>
        <v>#N/A</v>
      </c>
      <c r="K562" s="18" t="s">
        <v>545</v>
      </c>
    </row>
    <row r="563" spans="1:11" x14ac:dyDescent="0.3">
      <c r="A563" t="s">
        <v>503</v>
      </c>
      <c r="B563" t="s">
        <v>131</v>
      </c>
      <c r="C563" t="s">
        <v>122</v>
      </c>
      <c r="D563" t="s">
        <v>12</v>
      </c>
      <c r="I563" s="18" t="e">
        <f>INDEX(M:M,MATCH(A562,O:O,0))</f>
        <v>#N/A</v>
      </c>
      <c r="J563" s="18" t="e">
        <f>INDEX(U:U,MATCH(A562,W:W,0))</f>
        <v>#N/A</v>
      </c>
      <c r="K563" s="19" t="s">
        <v>539</v>
      </c>
    </row>
    <row r="564" spans="1:11" x14ac:dyDescent="0.3">
      <c r="A564" t="s">
        <v>504</v>
      </c>
      <c r="B564" t="s">
        <v>131</v>
      </c>
      <c r="C564" t="s">
        <v>126</v>
      </c>
      <c r="D564" t="s">
        <v>12</v>
      </c>
      <c r="I564" s="17" t="e">
        <f>INDEX(N:N,MATCH(A564,O:O,0))/100</f>
        <v>#N/A</v>
      </c>
      <c r="J564" s="17" t="e">
        <f>INDEX(V:V,MATCH(A564,W:W,0))/100</f>
        <v>#N/A</v>
      </c>
      <c r="K564" s="18" t="s">
        <v>545</v>
      </c>
    </row>
    <row r="565" spans="1:11" x14ac:dyDescent="0.3">
      <c r="A565" t="s">
        <v>504</v>
      </c>
      <c r="B565" t="s">
        <v>131</v>
      </c>
      <c r="C565" t="s">
        <v>126</v>
      </c>
      <c r="D565" t="s">
        <v>12</v>
      </c>
      <c r="I565" s="18" t="e">
        <f>INDEX(M:M,MATCH(A564,O:O,0))</f>
        <v>#N/A</v>
      </c>
      <c r="J565" s="18" t="e">
        <f>INDEX(U:U,MATCH(A564,W:W,0))</f>
        <v>#N/A</v>
      </c>
      <c r="K565" s="19" t="s">
        <v>539</v>
      </c>
    </row>
    <row r="566" spans="1:11" x14ac:dyDescent="0.3">
      <c r="A566" t="s">
        <v>505</v>
      </c>
      <c r="B566" t="s">
        <v>131</v>
      </c>
      <c r="C566" t="s">
        <v>119</v>
      </c>
      <c r="D566" t="s">
        <v>12</v>
      </c>
      <c r="I566" s="17" t="e">
        <f>INDEX(N:N,MATCH(A566,O:O,0))/100</f>
        <v>#N/A</v>
      </c>
      <c r="J566" s="17" t="e">
        <f>INDEX(V:V,MATCH(A566,W:W,0))/100</f>
        <v>#N/A</v>
      </c>
      <c r="K566" s="18" t="s">
        <v>545</v>
      </c>
    </row>
    <row r="567" spans="1:11" x14ac:dyDescent="0.3">
      <c r="A567" t="s">
        <v>505</v>
      </c>
      <c r="B567" t="s">
        <v>131</v>
      </c>
      <c r="C567" t="s">
        <v>119</v>
      </c>
      <c r="D567" t="s">
        <v>12</v>
      </c>
      <c r="I567" s="18" t="e">
        <f>INDEX(M:M,MATCH(A566,O:O,0))</f>
        <v>#N/A</v>
      </c>
      <c r="J567" s="18" t="e">
        <f>INDEX(U:U,MATCH(A566,W:W,0))</f>
        <v>#N/A</v>
      </c>
      <c r="K567" s="19" t="s">
        <v>539</v>
      </c>
    </row>
    <row r="568" spans="1:11" x14ac:dyDescent="0.3">
      <c r="A568" t="s">
        <v>506</v>
      </c>
      <c r="B568" t="s">
        <v>131</v>
      </c>
      <c r="C568" t="s">
        <v>114</v>
      </c>
      <c r="D568" t="s">
        <v>12</v>
      </c>
      <c r="I568" s="17" t="e">
        <f>INDEX(N:N,MATCH(A568,O:O,0))/100</f>
        <v>#N/A</v>
      </c>
      <c r="J568" s="17" t="e">
        <f>INDEX(V:V,MATCH(A568,W:W,0))/100</f>
        <v>#N/A</v>
      </c>
      <c r="K568" s="18" t="s">
        <v>545</v>
      </c>
    </row>
    <row r="569" spans="1:11" x14ac:dyDescent="0.3">
      <c r="A569" t="s">
        <v>506</v>
      </c>
      <c r="B569" t="s">
        <v>131</v>
      </c>
      <c r="C569" t="s">
        <v>114</v>
      </c>
      <c r="D569" t="s">
        <v>12</v>
      </c>
      <c r="I569" s="18" t="e">
        <f>INDEX(M:M,MATCH(A568,O:O,0))</f>
        <v>#N/A</v>
      </c>
      <c r="J569" s="18" t="e">
        <f>INDEX(U:U,MATCH(A568,W:W,0))</f>
        <v>#N/A</v>
      </c>
      <c r="K569" s="19" t="s">
        <v>539</v>
      </c>
    </row>
    <row r="570" spans="1:11" x14ac:dyDescent="0.3">
      <c r="A570" t="s">
        <v>507</v>
      </c>
      <c r="B570" t="s">
        <v>131</v>
      </c>
      <c r="C570" t="s">
        <v>124</v>
      </c>
      <c r="D570" t="s">
        <v>12</v>
      </c>
      <c r="I570" s="17" t="e">
        <f>INDEX(N:N,MATCH(A570,O:O,0))/100</f>
        <v>#N/A</v>
      </c>
      <c r="J570" s="17" t="e">
        <f>INDEX(V:V,MATCH(A570,W:W,0))/100</f>
        <v>#N/A</v>
      </c>
      <c r="K570" s="18" t="s">
        <v>545</v>
      </c>
    </row>
    <row r="571" spans="1:11" x14ac:dyDescent="0.3">
      <c r="A571" t="s">
        <v>507</v>
      </c>
      <c r="B571" t="s">
        <v>131</v>
      </c>
      <c r="C571" t="s">
        <v>124</v>
      </c>
      <c r="D571" t="s">
        <v>12</v>
      </c>
      <c r="I571" s="18" t="e">
        <f>INDEX(M:M,MATCH(A570,O:O,0))</f>
        <v>#N/A</v>
      </c>
      <c r="J571" s="18" t="e">
        <f>INDEX(U:U,MATCH(A570,W:W,0))</f>
        <v>#N/A</v>
      </c>
      <c r="K571" s="19" t="s">
        <v>539</v>
      </c>
    </row>
    <row r="572" spans="1:11" x14ac:dyDescent="0.3">
      <c r="A572" s="4" t="s">
        <v>508</v>
      </c>
      <c r="B572" s="4" t="s">
        <v>559</v>
      </c>
      <c r="C572" s="4" t="s">
        <v>560</v>
      </c>
      <c r="D572" s="4" t="s">
        <v>5</v>
      </c>
      <c r="E572" s="4"/>
      <c r="F572" s="4"/>
      <c r="G572" s="4"/>
      <c r="H572" s="4"/>
      <c r="I572" s="17" t="e">
        <f>INDEX(N:N,MATCH(A572,O:O,0))/100</f>
        <v>#N/A</v>
      </c>
      <c r="J572" s="17" t="e">
        <f>INDEX(V:V,MATCH(A572,W:W,0))/100</f>
        <v>#N/A</v>
      </c>
      <c r="K572" s="18" t="s">
        <v>545</v>
      </c>
    </row>
    <row r="573" spans="1:11" x14ac:dyDescent="0.3">
      <c r="A573" s="13" t="s">
        <v>508</v>
      </c>
      <c r="B573" s="4" t="s">
        <v>559</v>
      </c>
      <c r="C573" s="4" t="s">
        <v>560</v>
      </c>
      <c r="D573" s="4" t="s">
        <v>5</v>
      </c>
      <c r="E573" s="4"/>
      <c r="F573" s="4"/>
      <c r="G573" s="4"/>
      <c r="H573" s="4"/>
      <c r="I573" s="18" t="e">
        <f>INDEX(M:M,MATCH(A572,O:O,0))</f>
        <v>#N/A</v>
      </c>
      <c r="J573" s="18" t="e">
        <f>INDEX(U:U,MATCH(A572,W:W,0))</f>
        <v>#N/A</v>
      </c>
      <c r="K573" s="19" t="s">
        <v>539</v>
      </c>
    </row>
    <row r="574" spans="1:11" x14ac:dyDescent="0.3">
      <c r="A574" s="13" t="s">
        <v>509</v>
      </c>
      <c r="B574" s="4" t="s">
        <v>559</v>
      </c>
      <c r="C574" s="4" t="s">
        <v>560</v>
      </c>
      <c r="D574" s="4" t="s">
        <v>10</v>
      </c>
      <c r="E574" s="4"/>
      <c r="F574" s="4"/>
      <c r="G574" s="4"/>
      <c r="H574" s="4"/>
      <c r="I574" s="17" t="e">
        <f>INDEX(N:N,MATCH(A574,O:O,0))/100</f>
        <v>#N/A</v>
      </c>
      <c r="J574" s="17" t="e">
        <f>INDEX(V:V,MATCH(A574,W:W,0))/100</f>
        <v>#N/A</v>
      </c>
      <c r="K574" s="18" t="s">
        <v>545</v>
      </c>
    </row>
    <row r="575" spans="1:11" x14ac:dyDescent="0.3">
      <c r="A575" s="13" t="s">
        <v>509</v>
      </c>
      <c r="B575" s="4" t="s">
        <v>559</v>
      </c>
      <c r="C575" s="4" t="s">
        <v>560</v>
      </c>
      <c r="D575" s="4" t="s">
        <v>10</v>
      </c>
      <c r="E575" s="4"/>
      <c r="F575" s="4"/>
      <c r="G575" s="4"/>
      <c r="H575" s="4"/>
      <c r="I575" s="18" t="e">
        <f>INDEX(M:M,MATCH(A574,O:O,0))</f>
        <v>#N/A</v>
      </c>
      <c r="J575" s="18" t="e">
        <f>INDEX(U:U,MATCH(A574,W:W,0))</f>
        <v>#N/A</v>
      </c>
      <c r="K575" s="19" t="s">
        <v>539</v>
      </c>
    </row>
    <row r="576" spans="1:11" x14ac:dyDescent="0.3">
      <c r="A576" s="13" t="s">
        <v>510</v>
      </c>
      <c r="B576" s="4" t="s">
        <v>559</v>
      </c>
      <c r="C576" s="4" t="s">
        <v>560</v>
      </c>
      <c r="D576" s="4" t="s">
        <v>14</v>
      </c>
      <c r="E576" s="4"/>
      <c r="F576" s="4"/>
      <c r="G576" s="4"/>
      <c r="H576" s="4"/>
      <c r="I576" s="17" t="e">
        <f>INDEX(N:N,MATCH(A576,O:O,0))/100</f>
        <v>#N/A</v>
      </c>
      <c r="J576" s="17" t="e">
        <f>INDEX(V:V,MATCH(A576,W:W,0))/100</f>
        <v>#N/A</v>
      </c>
      <c r="K576" s="18" t="s">
        <v>545</v>
      </c>
    </row>
    <row r="577" spans="1:11" x14ac:dyDescent="0.3">
      <c r="A577" s="13" t="s">
        <v>510</v>
      </c>
      <c r="B577" s="4" t="s">
        <v>559</v>
      </c>
      <c r="C577" s="4" t="s">
        <v>560</v>
      </c>
      <c r="D577" s="4" t="s">
        <v>14</v>
      </c>
      <c r="E577" s="4"/>
      <c r="F577" s="4"/>
      <c r="G577" s="4"/>
      <c r="H577" s="4"/>
      <c r="I577" s="18" t="e">
        <f>INDEX(M:M,MATCH(A576,O:O,0))</f>
        <v>#N/A</v>
      </c>
      <c r="J577" s="18" t="e">
        <f>INDEX(U:U,MATCH(A576,W:W,0))</f>
        <v>#N/A</v>
      </c>
      <c r="K577" s="19" t="s">
        <v>539</v>
      </c>
    </row>
    <row r="578" spans="1:11" x14ac:dyDescent="0.3">
      <c r="A578" s="13" t="s">
        <v>511</v>
      </c>
      <c r="B578" s="4" t="s">
        <v>559</v>
      </c>
      <c r="C578" s="4" t="s">
        <v>560</v>
      </c>
      <c r="D578" s="4" t="s">
        <v>11</v>
      </c>
      <c r="E578" s="4"/>
      <c r="F578" s="4"/>
      <c r="G578" s="4"/>
      <c r="H578" s="4"/>
      <c r="I578" s="17" t="e">
        <f>INDEX(N:N,MATCH(A578,O:O,0))/100</f>
        <v>#N/A</v>
      </c>
      <c r="J578" s="17" t="e">
        <f>INDEX(V:V,MATCH(A578,W:W,0))/100</f>
        <v>#N/A</v>
      </c>
      <c r="K578" s="18" t="s">
        <v>545</v>
      </c>
    </row>
    <row r="579" spans="1:11" x14ac:dyDescent="0.3">
      <c r="A579" s="13" t="s">
        <v>511</v>
      </c>
      <c r="B579" s="4" t="s">
        <v>559</v>
      </c>
      <c r="C579" s="4" t="s">
        <v>560</v>
      </c>
      <c r="D579" s="4" t="s">
        <v>11</v>
      </c>
      <c r="E579" s="4"/>
      <c r="F579" s="4"/>
      <c r="G579" s="4"/>
      <c r="H579" s="4"/>
      <c r="I579" s="18" t="e">
        <f>INDEX(M:M,MATCH(A578,O:O,0))</f>
        <v>#N/A</v>
      </c>
      <c r="J579" s="18" t="e">
        <f>INDEX(U:U,MATCH(A578,W:W,0))</f>
        <v>#N/A</v>
      </c>
      <c r="K579" s="19" t="s">
        <v>539</v>
      </c>
    </row>
    <row r="580" spans="1:11" x14ac:dyDescent="0.3">
      <c r="A580" s="13" t="s">
        <v>512</v>
      </c>
      <c r="B580" s="4" t="s">
        <v>559</v>
      </c>
      <c r="C580" s="4" t="s">
        <v>560</v>
      </c>
      <c r="D580" s="4" t="s">
        <v>23</v>
      </c>
      <c r="E580" s="4"/>
      <c r="F580" s="4"/>
      <c r="G580" s="4"/>
      <c r="H580" s="4"/>
      <c r="I580" s="17" t="e">
        <f>INDEX(N:N,MATCH(A580,O:O,0))/100</f>
        <v>#N/A</v>
      </c>
      <c r="J580" s="17" t="e">
        <f>INDEX(V:V,MATCH(A580,W:W,0))/100</f>
        <v>#N/A</v>
      </c>
      <c r="K580" s="18" t="s">
        <v>545</v>
      </c>
    </row>
    <row r="581" spans="1:11" x14ac:dyDescent="0.3">
      <c r="A581" s="13" t="s">
        <v>512</v>
      </c>
      <c r="B581" s="4" t="s">
        <v>559</v>
      </c>
      <c r="C581" s="4" t="s">
        <v>560</v>
      </c>
      <c r="D581" s="4" t="s">
        <v>23</v>
      </c>
      <c r="E581" s="4"/>
      <c r="F581" s="4"/>
      <c r="G581" s="4"/>
      <c r="H581" s="4"/>
      <c r="I581" s="18" t="e">
        <f>INDEX(M:M,MATCH(A580,O:O,0))</f>
        <v>#N/A</v>
      </c>
      <c r="J581" s="18" t="e">
        <f>INDEX(U:U,MATCH(A580,W:W,0))</f>
        <v>#N/A</v>
      </c>
      <c r="K581" s="19" t="s">
        <v>539</v>
      </c>
    </row>
    <row r="582" spans="1:11" x14ac:dyDescent="0.3">
      <c r="A582" s="14" t="s">
        <v>513</v>
      </c>
      <c r="B582" s="4" t="s">
        <v>559</v>
      </c>
      <c r="C582" s="4" t="s">
        <v>560</v>
      </c>
      <c r="D582" s="4" t="s">
        <v>32</v>
      </c>
      <c r="E582" s="4"/>
      <c r="F582" s="4"/>
      <c r="G582" s="4"/>
      <c r="H582" s="4"/>
      <c r="I582" s="17" t="e">
        <f>INDEX(N:N,MATCH(A582,O:O,0))/100</f>
        <v>#N/A</v>
      </c>
      <c r="J582" s="17" t="e">
        <f>INDEX(V:V,MATCH(A582,W:W,0))/100</f>
        <v>#N/A</v>
      </c>
      <c r="K582" s="18" t="s">
        <v>545</v>
      </c>
    </row>
    <row r="583" spans="1:11" x14ac:dyDescent="0.3">
      <c r="A583" s="14" t="s">
        <v>513</v>
      </c>
      <c r="B583" s="4" t="s">
        <v>559</v>
      </c>
      <c r="C583" s="4" t="s">
        <v>560</v>
      </c>
      <c r="D583" s="4" t="s">
        <v>32</v>
      </c>
      <c r="E583" s="4"/>
      <c r="F583" s="4"/>
      <c r="G583" s="4"/>
      <c r="H583" s="4"/>
      <c r="I583" s="18" t="e">
        <f>INDEX(M:M,MATCH(A582,O:O,0))</f>
        <v>#N/A</v>
      </c>
      <c r="J583" s="18" t="e">
        <f>INDEX(U:U,MATCH(A582,W:W,0))</f>
        <v>#N/A</v>
      </c>
      <c r="K583" s="19" t="s">
        <v>539</v>
      </c>
    </row>
    <row r="584" spans="1:11" x14ac:dyDescent="0.3">
      <c r="A584" s="13" t="s">
        <v>514</v>
      </c>
      <c r="B584" s="4" t="s">
        <v>559</v>
      </c>
      <c r="C584" s="4" t="s">
        <v>560</v>
      </c>
      <c r="D584" s="4" t="s">
        <v>30</v>
      </c>
      <c r="E584" s="4"/>
      <c r="F584" s="4"/>
      <c r="G584" s="4"/>
      <c r="H584" s="4"/>
      <c r="I584" s="17" t="e">
        <f>INDEX(N:N,MATCH(A584,O:O,0))/100</f>
        <v>#N/A</v>
      </c>
      <c r="J584" s="17" t="e">
        <f>INDEX(V:V,MATCH(A584,W:W,0))/100</f>
        <v>#N/A</v>
      </c>
      <c r="K584" s="18" t="s">
        <v>545</v>
      </c>
    </row>
    <row r="585" spans="1:11" x14ac:dyDescent="0.3">
      <c r="A585" s="13" t="s">
        <v>514</v>
      </c>
      <c r="B585" s="4" t="s">
        <v>559</v>
      </c>
      <c r="C585" s="4" t="s">
        <v>560</v>
      </c>
      <c r="D585" s="4" t="s">
        <v>30</v>
      </c>
      <c r="E585" s="4"/>
      <c r="F585" s="4"/>
      <c r="G585" s="4"/>
      <c r="H585" s="4"/>
      <c r="I585" s="18" t="e">
        <f>INDEX(M:M,MATCH(A584,O:O,0))</f>
        <v>#N/A</v>
      </c>
      <c r="J585" s="18" t="e">
        <f>INDEX(U:U,MATCH(A584,W:W,0))</f>
        <v>#N/A</v>
      </c>
      <c r="K585" s="19" t="s">
        <v>539</v>
      </c>
    </row>
    <row r="586" spans="1:11" x14ac:dyDescent="0.3">
      <c r="A586" s="13" t="s">
        <v>515</v>
      </c>
      <c r="B586" s="4" t="s">
        <v>559</v>
      </c>
      <c r="C586" s="4" t="s">
        <v>560</v>
      </c>
      <c r="D586" s="4" t="s">
        <v>37</v>
      </c>
      <c r="E586" s="4"/>
      <c r="F586" s="4"/>
      <c r="G586" s="4"/>
      <c r="H586" s="4"/>
      <c r="I586" s="17" t="e">
        <f>INDEX(N:N,MATCH(A586,O:O,0))/100</f>
        <v>#N/A</v>
      </c>
      <c r="J586" s="17" t="e">
        <f>INDEX(V:V,MATCH(A586,W:W,0))/100</f>
        <v>#N/A</v>
      </c>
      <c r="K586" s="18" t="s">
        <v>545</v>
      </c>
    </row>
    <row r="587" spans="1:11" x14ac:dyDescent="0.3">
      <c r="A587" s="13" t="s">
        <v>515</v>
      </c>
      <c r="B587" s="4" t="s">
        <v>559</v>
      </c>
      <c r="C587" s="4" t="s">
        <v>560</v>
      </c>
      <c r="D587" s="4" t="s">
        <v>37</v>
      </c>
      <c r="E587" s="4"/>
      <c r="F587" s="4"/>
      <c r="G587" s="4"/>
      <c r="H587" s="4"/>
      <c r="I587" s="18" t="e">
        <f>INDEX(M:M,MATCH(A586,O:O,0))</f>
        <v>#N/A</v>
      </c>
      <c r="J587" s="18" t="e">
        <f>INDEX(U:U,MATCH(A586,W:W,0))</f>
        <v>#N/A</v>
      </c>
      <c r="K587" s="19" t="s">
        <v>539</v>
      </c>
    </row>
    <row r="588" spans="1:11" x14ac:dyDescent="0.3">
      <c r="A588" s="13" t="s">
        <v>516</v>
      </c>
      <c r="B588" s="4" t="s">
        <v>559</v>
      </c>
      <c r="C588" s="4" t="s">
        <v>560</v>
      </c>
      <c r="D588" s="4" t="s">
        <v>29</v>
      </c>
      <c r="E588" s="4"/>
      <c r="F588" s="4"/>
      <c r="G588" s="4"/>
      <c r="H588" s="4"/>
      <c r="I588" s="17" t="e">
        <f>INDEX(N:N,MATCH(A588,O:O,0))/100</f>
        <v>#N/A</v>
      </c>
      <c r="J588" s="17" t="e">
        <f>INDEX(V:V,MATCH(A588,W:W,0))/100</f>
        <v>#N/A</v>
      </c>
      <c r="K588" s="18" t="s">
        <v>545</v>
      </c>
    </row>
    <row r="589" spans="1:11" x14ac:dyDescent="0.3">
      <c r="A589" s="13" t="s">
        <v>516</v>
      </c>
      <c r="B589" s="4" t="s">
        <v>559</v>
      </c>
      <c r="C589" s="4" t="s">
        <v>560</v>
      </c>
      <c r="D589" s="4" t="s">
        <v>29</v>
      </c>
      <c r="E589" s="4"/>
      <c r="F589" s="4"/>
      <c r="G589" s="4"/>
      <c r="H589" s="4"/>
      <c r="I589" s="18" t="e">
        <f>INDEX(M:M,MATCH(A588,O:O,0))</f>
        <v>#N/A</v>
      </c>
      <c r="J589" s="18" t="e">
        <f>INDEX(U:U,MATCH(A588,W:W,0))</f>
        <v>#N/A</v>
      </c>
      <c r="K589" s="19" t="s">
        <v>539</v>
      </c>
    </row>
    <row r="590" spans="1:11" x14ac:dyDescent="0.3">
      <c r="A590" s="13" t="s">
        <v>517</v>
      </c>
      <c r="B590" s="4" t="s">
        <v>559</v>
      </c>
      <c r="C590" s="4" t="s">
        <v>560</v>
      </c>
      <c r="D590" s="4" t="s">
        <v>31</v>
      </c>
      <c r="E590" s="4"/>
      <c r="F590" s="4"/>
      <c r="G590" s="4"/>
      <c r="H590" s="4"/>
      <c r="I590" s="17" t="e">
        <f>INDEX(N:N,MATCH(A590,O:O,0))/100</f>
        <v>#N/A</v>
      </c>
      <c r="J590" s="17" t="e">
        <f>INDEX(V:V,MATCH(A590,W:W,0))/100</f>
        <v>#N/A</v>
      </c>
      <c r="K590" s="18" t="s">
        <v>545</v>
      </c>
    </row>
    <row r="591" spans="1:11" x14ac:dyDescent="0.3">
      <c r="A591" s="13" t="s">
        <v>517</v>
      </c>
      <c r="B591" s="4" t="s">
        <v>559</v>
      </c>
      <c r="C591" s="4" t="s">
        <v>560</v>
      </c>
      <c r="D591" s="4" t="s">
        <v>31</v>
      </c>
      <c r="E591" s="4"/>
      <c r="F591" s="4"/>
      <c r="G591" s="4"/>
      <c r="H591" s="4"/>
      <c r="I591" s="18" t="e">
        <f>INDEX(M:M,MATCH(A590,O:O,0))</f>
        <v>#N/A</v>
      </c>
      <c r="J591" s="18" t="e">
        <f>INDEX(U:U,MATCH(A590,W:W,0))</f>
        <v>#N/A</v>
      </c>
      <c r="K591" s="19" t="s">
        <v>539</v>
      </c>
    </row>
    <row r="592" spans="1:11" x14ac:dyDescent="0.3">
      <c r="A592" s="13" t="s">
        <v>518</v>
      </c>
      <c r="B592" s="4" t="s">
        <v>559</v>
      </c>
      <c r="C592" s="4" t="s">
        <v>560</v>
      </c>
      <c r="D592" s="4" t="s">
        <v>15</v>
      </c>
      <c r="E592" s="4"/>
      <c r="F592" s="4"/>
      <c r="G592" s="4"/>
      <c r="H592" s="4"/>
      <c r="I592" s="17" t="e">
        <f>INDEX(N:N,MATCH(A592,O:O,0))/100</f>
        <v>#N/A</v>
      </c>
      <c r="J592" s="17" t="e">
        <f>INDEX(V:V,MATCH(A592,W:W,0))/100</f>
        <v>#N/A</v>
      </c>
      <c r="K592" s="18" t="s">
        <v>545</v>
      </c>
    </row>
    <row r="593" spans="1:11" x14ac:dyDescent="0.3">
      <c r="A593" s="13" t="s">
        <v>518</v>
      </c>
      <c r="B593" s="4" t="s">
        <v>559</v>
      </c>
      <c r="C593" s="4" t="s">
        <v>560</v>
      </c>
      <c r="D593" s="4" t="s">
        <v>15</v>
      </c>
      <c r="E593" s="4"/>
      <c r="F593" s="4"/>
      <c r="G593" s="4"/>
      <c r="H593" s="4"/>
      <c r="I593" s="18" t="e">
        <f>INDEX(M:M,MATCH(A592,O:O,0))</f>
        <v>#N/A</v>
      </c>
      <c r="J593" s="18" t="e">
        <f>INDEX(U:U,MATCH(A592,W:W,0))</f>
        <v>#N/A</v>
      </c>
      <c r="K593" s="19" t="s">
        <v>539</v>
      </c>
    </row>
    <row r="594" spans="1:11" x14ac:dyDescent="0.3">
      <c r="A594" s="13" t="s">
        <v>519</v>
      </c>
      <c r="B594" s="4" t="s">
        <v>559</v>
      </c>
      <c r="C594" s="4" t="s">
        <v>560</v>
      </c>
      <c r="D594" s="4" t="s">
        <v>561</v>
      </c>
      <c r="E594" s="4"/>
      <c r="F594" s="4"/>
      <c r="G594" s="4"/>
      <c r="H594" s="4"/>
      <c r="I594" s="17" t="e">
        <f>INDEX(N:N,MATCH(A594,O:O,0))/100</f>
        <v>#N/A</v>
      </c>
      <c r="J594" s="17" t="e">
        <f>INDEX(V:V,MATCH(A594,W:W,0))/100</f>
        <v>#N/A</v>
      </c>
      <c r="K594" s="18" t="s">
        <v>545</v>
      </c>
    </row>
    <row r="595" spans="1:11" x14ac:dyDescent="0.3">
      <c r="A595" s="13" t="s">
        <v>519</v>
      </c>
      <c r="B595" s="4" t="s">
        <v>559</v>
      </c>
      <c r="C595" s="4" t="s">
        <v>560</v>
      </c>
      <c r="D595" s="4" t="s">
        <v>561</v>
      </c>
      <c r="E595" s="4"/>
      <c r="F595" s="4"/>
      <c r="G595" s="4"/>
      <c r="H595" s="4"/>
      <c r="I595" s="18" t="e">
        <f>INDEX(M:M,MATCH(A594,O:O,0))</f>
        <v>#N/A</v>
      </c>
      <c r="J595" s="18" t="e">
        <f>INDEX(U:U,MATCH(A594,W:W,0))</f>
        <v>#N/A</v>
      </c>
      <c r="K595" s="19" t="s">
        <v>539</v>
      </c>
    </row>
    <row r="596" spans="1:11" x14ac:dyDescent="0.3">
      <c r="A596" s="13" t="s">
        <v>520</v>
      </c>
      <c r="B596" s="4" t="s">
        <v>559</v>
      </c>
      <c r="C596" s="4" t="s">
        <v>560</v>
      </c>
      <c r="D596" s="4" t="s">
        <v>562</v>
      </c>
      <c r="E596" s="4"/>
      <c r="F596" s="4"/>
      <c r="G596" s="4"/>
      <c r="H596" s="4"/>
      <c r="I596" s="17" t="e">
        <f>INDEX(N:N,MATCH(A596,O:O,0))/100</f>
        <v>#N/A</v>
      </c>
      <c r="J596" s="17" t="e">
        <f>INDEX(V:V,MATCH(A596,W:W,0))/100</f>
        <v>#N/A</v>
      </c>
      <c r="K596" s="18" t="s">
        <v>545</v>
      </c>
    </row>
    <row r="597" spans="1:11" x14ac:dyDescent="0.3">
      <c r="A597" s="13" t="s">
        <v>520</v>
      </c>
      <c r="B597" s="4" t="s">
        <v>559</v>
      </c>
      <c r="C597" s="4" t="s">
        <v>560</v>
      </c>
      <c r="D597" s="4" t="s">
        <v>562</v>
      </c>
      <c r="E597" s="4"/>
      <c r="F597" s="4"/>
      <c r="G597" s="4"/>
      <c r="H597" s="4"/>
      <c r="I597" s="18" t="e">
        <f>INDEX(M:M,MATCH(A596,O:O,0))</f>
        <v>#N/A</v>
      </c>
      <c r="J597" s="18" t="e">
        <f>INDEX(U:U,MATCH(A596,W:W,0))</f>
        <v>#N/A</v>
      </c>
      <c r="K597" s="19" t="s">
        <v>539</v>
      </c>
    </row>
    <row r="598" spans="1:11" x14ac:dyDescent="0.3">
      <c r="A598" s="13" t="s">
        <v>521</v>
      </c>
      <c r="B598" s="4" t="s">
        <v>559</v>
      </c>
      <c r="C598" s="4" t="s">
        <v>560</v>
      </c>
      <c r="D598" s="4" t="s">
        <v>42</v>
      </c>
      <c r="E598" s="4"/>
      <c r="F598" s="4"/>
      <c r="G598" s="4"/>
      <c r="H598" s="4"/>
      <c r="I598" s="17" t="e">
        <f>INDEX(N:N,MATCH(A598,O:O,0))/100</f>
        <v>#N/A</v>
      </c>
      <c r="J598" s="17" t="e">
        <f>INDEX(V:V,MATCH(A598,W:W,0))/100</f>
        <v>#N/A</v>
      </c>
      <c r="K598" s="18" t="s">
        <v>545</v>
      </c>
    </row>
    <row r="599" spans="1:11" x14ac:dyDescent="0.3">
      <c r="A599" s="13" t="s">
        <v>521</v>
      </c>
      <c r="B599" s="4" t="s">
        <v>559</v>
      </c>
      <c r="C599" s="4" t="s">
        <v>560</v>
      </c>
      <c r="D599" s="4" t="s">
        <v>42</v>
      </c>
      <c r="E599" s="4"/>
      <c r="F599" s="4"/>
      <c r="G599" s="4"/>
      <c r="H599" s="4"/>
      <c r="I599" s="18" t="e">
        <f>INDEX(M:M,MATCH(A598,O:O,0))</f>
        <v>#N/A</v>
      </c>
      <c r="J599" s="18" t="e">
        <f>INDEX(U:U,MATCH(A598,W:W,0))</f>
        <v>#N/A</v>
      </c>
      <c r="K599" s="19" t="s">
        <v>539</v>
      </c>
    </row>
    <row r="600" spans="1:11" x14ac:dyDescent="0.3">
      <c r="A600" s="13" t="s">
        <v>522</v>
      </c>
      <c r="B600" s="4" t="s">
        <v>559</v>
      </c>
      <c r="C600" s="4" t="s">
        <v>560</v>
      </c>
      <c r="D600" s="4" t="s">
        <v>33</v>
      </c>
      <c r="E600" s="4"/>
      <c r="F600" s="4"/>
      <c r="G600" s="4"/>
      <c r="H600" s="4"/>
      <c r="I600" s="17" t="e">
        <f>INDEX(N:N,MATCH(A600,O:O,0))/100</f>
        <v>#N/A</v>
      </c>
      <c r="J600" s="17" t="e">
        <f>INDEX(V:V,MATCH(A600,W:W,0))/100</f>
        <v>#N/A</v>
      </c>
      <c r="K600" s="18" t="s">
        <v>545</v>
      </c>
    </row>
    <row r="601" spans="1:11" x14ac:dyDescent="0.3">
      <c r="A601" s="13" t="s">
        <v>522</v>
      </c>
      <c r="B601" s="4" t="s">
        <v>559</v>
      </c>
      <c r="C601" s="4" t="s">
        <v>560</v>
      </c>
      <c r="D601" s="4" t="s">
        <v>33</v>
      </c>
      <c r="E601" s="4"/>
      <c r="F601" s="4"/>
      <c r="G601" s="4"/>
      <c r="H601" s="4"/>
      <c r="I601" s="18" t="e">
        <f>INDEX(M:M,MATCH(A600,O:O,0))</f>
        <v>#N/A</v>
      </c>
      <c r="J601" s="18" t="e">
        <f>INDEX(U:U,MATCH(A600,W:W,0))</f>
        <v>#N/A</v>
      </c>
      <c r="K601" s="19" t="s">
        <v>539</v>
      </c>
    </row>
    <row r="602" spans="1:11" x14ac:dyDescent="0.3">
      <c r="A602" s="13" t="s">
        <v>523</v>
      </c>
      <c r="B602" s="4" t="s">
        <v>559</v>
      </c>
      <c r="C602" s="4" t="s">
        <v>560</v>
      </c>
      <c r="D602" s="4" t="s">
        <v>563</v>
      </c>
      <c r="E602" s="4"/>
      <c r="F602" s="4"/>
      <c r="G602" s="4"/>
      <c r="H602" s="4"/>
      <c r="I602" s="17" t="e">
        <f>INDEX(N:N,MATCH(A602,O:O,0))/100</f>
        <v>#N/A</v>
      </c>
      <c r="J602" s="17" t="e">
        <f>INDEX(V:V,MATCH(A602,W:W,0))/100</f>
        <v>#N/A</v>
      </c>
      <c r="K602" s="18" t="s">
        <v>545</v>
      </c>
    </row>
    <row r="603" spans="1:11" x14ac:dyDescent="0.3">
      <c r="A603" s="13" t="s">
        <v>523</v>
      </c>
      <c r="B603" s="4" t="s">
        <v>559</v>
      </c>
      <c r="C603" s="4" t="s">
        <v>560</v>
      </c>
      <c r="D603" s="4" t="s">
        <v>563</v>
      </c>
      <c r="E603" s="4"/>
      <c r="F603" s="4"/>
      <c r="G603" s="4"/>
      <c r="H603" s="4"/>
      <c r="I603" s="18" t="e">
        <f>INDEX(M:M,MATCH(A602,O:O,0))</f>
        <v>#N/A</v>
      </c>
      <c r="J603" s="18" t="e">
        <f>INDEX(U:U,MATCH(A602,W:W,0))</f>
        <v>#N/A</v>
      </c>
      <c r="K603" s="19" t="s">
        <v>539</v>
      </c>
    </row>
    <row r="604" spans="1:11" x14ac:dyDescent="0.3">
      <c r="A604" s="13" t="s">
        <v>524</v>
      </c>
      <c r="B604" s="4" t="s">
        <v>559</v>
      </c>
      <c r="C604" s="4" t="s">
        <v>560</v>
      </c>
      <c r="D604" s="4" t="s">
        <v>34</v>
      </c>
      <c r="E604" s="4"/>
      <c r="F604" s="4"/>
      <c r="G604" s="4"/>
      <c r="H604" s="4"/>
      <c r="I604" s="17" t="e">
        <f>INDEX(N:N,MATCH(A604,O:O,0))/100</f>
        <v>#N/A</v>
      </c>
      <c r="J604" s="17" t="e">
        <f>INDEX(V:V,MATCH(A604,W:W,0))/100</f>
        <v>#N/A</v>
      </c>
      <c r="K604" s="18" t="s">
        <v>545</v>
      </c>
    </row>
    <row r="605" spans="1:11" x14ac:dyDescent="0.3">
      <c r="A605" s="13" t="s">
        <v>524</v>
      </c>
      <c r="B605" s="4" t="s">
        <v>559</v>
      </c>
      <c r="C605" s="4" t="s">
        <v>560</v>
      </c>
      <c r="D605" s="4" t="s">
        <v>34</v>
      </c>
      <c r="E605" s="4"/>
      <c r="F605" s="4"/>
      <c r="G605" s="4"/>
      <c r="H605" s="4"/>
      <c r="I605" s="18" t="e">
        <f>INDEX(M:M,MATCH(A604,O:O,0))</f>
        <v>#N/A</v>
      </c>
      <c r="J605" s="18" t="e">
        <f>INDEX(U:U,MATCH(A604,W:W,0))</f>
        <v>#N/A</v>
      </c>
      <c r="K605" s="19" t="s">
        <v>539</v>
      </c>
    </row>
    <row r="606" spans="1:11" x14ac:dyDescent="0.3">
      <c r="A606" s="14" t="s">
        <v>525</v>
      </c>
      <c r="B606" s="4" t="s">
        <v>559</v>
      </c>
      <c r="C606" s="4" t="s">
        <v>560</v>
      </c>
      <c r="D606" s="4" t="s">
        <v>20</v>
      </c>
      <c r="E606" s="4"/>
      <c r="F606" s="4"/>
      <c r="G606" s="4"/>
      <c r="H606" s="4"/>
      <c r="I606" s="17" t="e">
        <f>INDEX(N:N,MATCH(A606,O:O,0))/100</f>
        <v>#N/A</v>
      </c>
      <c r="J606" s="17" t="e">
        <f>INDEX(V:V,MATCH(A606,W:W,0))/100</f>
        <v>#N/A</v>
      </c>
      <c r="K606" s="18" t="s">
        <v>545</v>
      </c>
    </row>
    <row r="607" spans="1:11" x14ac:dyDescent="0.3">
      <c r="A607" s="14" t="s">
        <v>525</v>
      </c>
      <c r="B607" s="4" t="s">
        <v>559</v>
      </c>
      <c r="C607" s="4" t="s">
        <v>560</v>
      </c>
      <c r="D607" s="4" t="s">
        <v>20</v>
      </c>
      <c r="E607" s="4"/>
      <c r="F607" s="4"/>
      <c r="G607" s="4"/>
      <c r="H607" s="4"/>
      <c r="I607" s="18" t="e">
        <f>INDEX(M:M,MATCH(A606,O:O,0))</f>
        <v>#N/A</v>
      </c>
      <c r="J607" s="18" t="e">
        <f>INDEX(U:U,MATCH(A606,W:W,0))</f>
        <v>#N/A</v>
      </c>
      <c r="K607" s="19" t="s">
        <v>539</v>
      </c>
    </row>
    <row r="608" spans="1:11" x14ac:dyDescent="0.3">
      <c r="A608" s="13" t="s">
        <v>526</v>
      </c>
      <c r="B608" s="4" t="s">
        <v>559</v>
      </c>
      <c r="C608" s="4" t="s">
        <v>560</v>
      </c>
      <c r="D608" s="4" t="s">
        <v>18</v>
      </c>
      <c r="E608" s="4"/>
      <c r="F608" s="4"/>
      <c r="G608" s="4"/>
      <c r="H608" s="4"/>
      <c r="I608" s="17" t="e">
        <f>INDEX(N:N,MATCH(A608,O:O,0))/100</f>
        <v>#N/A</v>
      </c>
      <c r="J608" s="17" t="e">
        <f>INDEX(V:V,MATCH(A608,W:W,0))/100</f>
        <v>#N/A</v>
      </c>
      <c r="K608" s="18" t="s">
        <v>545</v>
      </c>
    </row>
    <row r="609" spans="1:11" x14ac:dyDescent="0.3">
      <c r="A609" s="13" t="s">
        <v>526</v>
      </c>
      <c r="B609" s="4" t="s">
        <v>559</v>
      </c>
      <c r="C609" s="4" t="s">
        <v>560</v>
      </c>
      <c r="D609" s="4" t="s">
        <v>18</v>
      </c>
      <c r="E609" s="4"/>
      <c r="F609" s="4"/>
      <c r="G609" s="4"/>
      <c r="H609" s="4"/>
      <c r="I609" s="18" t="e">
        <f>INDEX(M:M,MATCH(A608,O:O,0))</f>
        <v>#N/A</v>
      </c>
      <c r="J609" s="18" t="e">
        <f>INDEX(U:U,MATCH(A608,W:W,0))</f>
        <v>#N/A</v>
      </c>
      <c r="K609" s="19" t="s">
        <v>539</v>
      </c>
    </row>
    <row r="610" spans="1:11" x14ac:dyDescent="0.3">
      <c r="A610" s="13" t="s">
        <v>527</v>
      </c>
      <c r="B610" s="4" t="s">
        <v>559</v>
      </c>
      <c r="C610" s="4" t="s">
        <v>560</v>
      </c>
      <c r="D610" s="4" t="s">
        <v>19</v>
      </c>
      <c r="E610" s="4"/>
      <c r="F610" s="4"/>
      <c r="G610" s="4"/>
      <c r="H610" s="4"/>
      <c r="I610" s="17" t="e">
        <f>INDEX(N:N,MATCH(A610,O:O,0))/100</f>
        <v>#N/A</v>
      </c>
      <c r="J610" s="17" t="e">
        <f>INDEX(V:V,MATCH(A610,W:W,0))/100</f>
        <v>#N/A</v>
      </c>
      <c r="K610" s="18" t="s">
        <v>545</v>
      </c>
    </row>
    <row r="611" spans="1:11" x14ac:dyDescent="0.3">
      <c r="A611" s="13" t="s">
        <v>527</v>
      </c>
      <c r="B611" s="4" t="s">
        <v>559</v>
      </c>
      <c r="C611" s="4" t="s">
        <v>560</v>
      </c>
      <c r="D611" s="4" t="s">
        <v>19</v>
      </c>
      <c r="E611" s="4"/>
      <c r="F611" s="4"/>
      <c r="G611" s="4"/>
      <c r="H611" s="4"/>
      <c r="I611" s="18" t="e">
        <f>INDEX(M:M,MATCH(A610,O:O,0))</f>
        <v>#N/A</v>
      </c>
      <c r="J611" s="18" t="e">
        <f>INDEX(U:U,MATCH(A610,W:W,0))</f>
        <v>#N/A</v>
      </c>
      <c r="K611" s="19" t="s">
        <v>539</v>
      </c>
    </row>
    <row r="612" spans="1:11" x14ac:dyDescent="0.3">
      <c r="A612" s="13" t="s">
        <v>528</v>
      </c>
      <c r="B612" s="4" t="s">
        <v>559</v>
      </c>
      <c r="C612" s="4" t="s">
        <v>560</v>
      </c>
      <c r="D612" s="4" t="s">
        <v>21</v>
      </c>
      <c r="E612" s="4"/>
      <c r="F612" s="4"/>
      <c r="G612" s="4"/>
      <c r="H612" s="4"/>
      <c r="I612" s="17" t="e">
        <f>INDEX(N:N,MATCH(A612,O:O,0))/100</f>
        <v>#N/A</v>
      </c>
      <c r="J612" s="17" t="e">
        <f>INDEX(V:V,MATCH(A612,W:W,0))/100</f>
        <v>#N/A</v>
      </c>
      <c r="K612" s="18" t="s">
        <v>545</v>
      </c>
    </row>
    <row r="613" spans="1:11" x14ac:dyDescent="0.3">
      <c r="A613" s="13" t="s">
        <v>528</v>
      </c>
      <c r="B613" s="4" t="s">
        <v>559</v>
      </c>
      <c r="C613" s="4" t="s">
        <v>560</v>
      </c>
      <c r="D613" s="4" t="s">
        <v>21</v>
      </c>
      <c r="E613" s="4"/>
      <c r="F613" s="4"/>
      <c r="G613" s="4"/>
      <c r="H613" s="4"/>
      <c r="I613" s="18" t="e">
        <f>INDEX(M:M,MATCH(A612,O:O,0))</f>
        <v>#N/A</v>
      </c>
      <c r="J613" s="18" t="e">
        <f>INDEX(U:U,MATCH(A612,W:W,0))</f>
        <v>#N/A</v>
      </c>
      <c r="K613" s="19" t="s">
        <v>539</v>
      </c>
    </row>
    <row r="614" spans="1:11" x14ac:dyDescent="0.3">
      <c r="A614" s="13" t="s">
        <v>529</v>
      </c>
      <c r="B614" s="4" t="s">
        <v>559</v>
      </c>
      <c r="C614" s="4" t="s">
        <v>560</v>
      </c>
      <c r="D614" s="4" t="s">
        <v>12</v>
      </c>
      <c r="E614" s="4"/>
      <c r="F614" s="4"/>
      <c r="G614" s="4"/>
      <c r="H614" s="4"/>
      <c r="I614" s="17" t="e">
        <f>INDEX(N:N,MATCH(A614,O:O,0))/100</f>
        <v>#N/A</v>
      </c>
      <c r="J614" s="17" t="e">
        <f>INDEX(V:V,MATCH(A614,W:W,0))/100</f>
        <v>#N/A</v>
      </c>
      <c r="K614" s="18" t="s">
        <v>545</v>
      </c>
    </row>
    <row r="615" spans="1:11" x14ac:dyDescent="0.3">
      <c r="A615" s="13" t="s">
        <v>529</v>
      </c>
      <c r="B615" s="4" t="s">
        <v>559</v>
      </c>
      <c r="C615" s="4" t="s">
        <v>560</v>
      </c>
      <c r="D615" s="4" t="s">
        <v>12</v>
      </c>
      <c r="E615" s="4"/>
      <c r="F615" s="4"/>
      <c r="G615" s="4"/>
      <c r="H615" s="4"/>
      <c r="I615" s="18" t="e">
        <f>INDEX(M:M,MATCH(A614,O:O,0))</f>
        <v>#N/A</v>
      </c>
      <c r="J615" s="18" t="e">
        <f>INDEX(U:U,MATCH(A614,W:W,0))</f>
        <v>#N/A</v>
      </c>
      <c r="K615" s="19" t="s">
        <v>539</v>
      </c>
    </row>
    <row r="616" spans="1:11" x14ac:dyDescent="0.3">
      <c r="A616" s="13" t="s">
        <v>530</v>
      </c>
      <c r="B616" s="4" t="s">
        <v>559</v>
      </c>
      <c r="C616" s="4" t="s">
        <v>560</v>
      </c>
      <c r="D616" s="4" t="s">
        <v>6</v>
      </c>
      <c r="E616" s="4"/>
      <c r="F616" s="4"/>
      <c r="G616" s="4"/>
      <c r="H616" s="4"/>
      <c r="I616" s="17" t="e">
        <f>INDEX(N:N,MATCH(A616,O:O,0))/100</f>
        <v>#N/A</v>
      </c>
      <c r="J616" s="17" t="e">
        <f>INDEX(V:V,MATCH(A616,W:W,0))/100</f>
        <v>#N/A</v>
      </c>
      <c r="K616" s="18" t="s">
        <v>545</v>
      </c>
    </row>
    <row r="617" spans="1:11" x14ac:dyDescent="0.3">
      <c r="A617" s="13" t="s">
        <v>530</v>
      </c>
      <c r="B617" s="4" t="s">
        <v>559</v>
      </c>
      <c r="C617" s="4" t="s">
        <v>560</v>
      </c>
      <c r="D617" s="4" t="s">
        <v>6</v>
      </c>
      <c r="E617" s="4"/>
      <c r="F617" s="4"/>
      <c r="G617" s="4"/>
      <c r="H617" s="4"/>
      <c r="I617" s="18" t="e">
        <f>INDEX(M:M,MATCH(A616,O:O,0))</f>
        <v>#N/A</v>
      </c>
      <c r="J617" s="18" t="e">
        <f>INDEX(U:U,MATCH(A616,W:W,0))</f>
        <v>#N/A</v>
      </c>
      <c r="K617" s="19" t="s">
        <v>539</v>
      </c>
    </row>
    <row r="618" spans="1:11" x14ac:dyDescent="0.3">
      <c r="A618" s="13" t="s">
        <v>531</v>
      </c>
      <c r="B618" s="4" t="s">
        <v>559</v>
      </c>
      <c r="C618" s="4" t="s">
        <v>560</v>
      </c>
      <c r="D618" s="4" t="s">
        <v>7</v>
      </c>
      <c r="E618" s="4"/>
      <c r="F618" s="4"/>
      <c r="G618" s="4"/>
      <c r="H618" s="4"/>
      <c r="I618" s="17" t="e">
        <f>INDEX(N:N,MATCH(A618,O:O,0))/100</f>
        <v>#N/A</v>
      </c>
      <c r="J618" s="17" t="e">
        <f>INDEX(V:V,MATCH(A618,W:W,0))/100</f>
        <v>#N/A</v>
      </c>
      <c r="K618" s="18" t="s">
        <v>545</v>
      </c>
    </row>
    <row r="619" spans="1:11" x14ac:dyDescent="0.3">
      <c r="A619" s="13" t="s">
        <v>531</v>
      </c>
      <c r="B619" s="4" t="s">
        <v>559</v>
      </c>
      <c r="C619" s="4" t="s">
        <v>560</v>
      </c>
      <c r="D619" s="4" t="s">
        <v>7</v>
      </c>
      <c r="E619" s="4"/>
      <c r="F619" s="4"/>
      <c r="G619" s="4"/>
      <c r="H619" s="4"/>
      <c r="I619" s="18" t="e">
        <f>INDEX(M:M,MATCH(A618,O:O,0))</f>
        <v>#N/A</v>
      </c>
      <c r="J619" s="18" t="e">
        <f>INDEX(U:U,MATCH(A618,W:W,0))</f>
        <v>#N/A</v>
      </c>
      <c r="K619" s="19" t="s">
        <v>539</v>
      </c>
    </row>
    <row r="620" spans="1:11" x14ac:dyDescent="0.3">
      <c r="A620" s="13" t="s">
        <v>532</v>
      </c>
      <c r="B620" s="4" t="s">
        <v>559</v>
      </c>
      <c r="C620" s="4" t="s">
        <v>560</v>
      </c>
      <c r="D620" s="4" t="s">
        <v>8</v>
      </c>
      <c r="E620" s="4"/>
      <c r="F620" s="4"/>
      <c r="G620" s="4"/>
      <c r="H620" s="4"/>
      <c r="I620" s="17" t="e">
        <f>INDEX(N:N,MATCH(A620,O:O,0))/100</f>
        <v>#N/A</v>
      </c>
      <c r="J620" s="17" t="e">
        <f>INDEX(V:V,MATCH(A620,W:W,0))/100</f>
        <v>#N/A</v>
      </c>
      <c r="K620" s="18" t="s">
        <v>545</v>
      </c>
    </row>
    <row r="621" spans="1:11" x14ac:dyDescent="0.3">
      <c r="A621" s="13" t="s">
        <v>532</v>
      </c>
      <c r="B621" s="4" t="s">
        <v>559</v>
      </c>
      <c r="C621" s="4" t="s">
        <v>560</v>
      </c>
      <c r="D621" s="4" t="s">
        <v>8</v>
      </c>
      <c r="E621" s="4"/>
      <c r="F621" s="4"/>
      <c r="G621" s="4"/>
      <c r="H621" s="4"/>
      <c r="I621" s="18" t="e">
        <f>INDEX(M:M,MATCH(A620,O:O,0))</f>
        <v>#N/A</v>
      </c>
      <c r="J621" s="18" t="e">
        <f>INDEX(U:U,MATCH(A620,W:W,0))</f>
        <v>#N/A</v>
      </c>
      <c r="K621" s="19" t="s">
        <v>539</v>
      </c>
    </row>
    <row r="622" spans="1:11" x14ac:dyDescent="0.3">
      <c r="A622" s="13" t="s">
        <v>533</v>
      </c>
      <c r="B622" s="4" t="s">
        <v>559</v>
      </c>
      <c r="C622" s="4" t="s">
        <v>560</v>
      </c>
      <c r="D622" s="4" t="s">
        <v>9</v>
      </c>
      <c r="E622" s="4"/>
      <c r="F622" s="4"/>
      <c r="G622" s="4"/>
      <c r="H622" s="4"/>
      <c r="I622" s="17" t="e">
        <f>INDEX(N:N,MATCH(A622,O:O,0))/100</f>
        <v>#N/A</v>
      </c>
      <c r="J622" s="17" t="e">
        <f>INDEX(V:V,MATCH(A622,W:W,0))/100</f>
        <v>#N/A</v>
      </c>
      <c r="K622" s="18" t="s">
        <v>545</v>
      </c>
    </row>
    <row r="623" spans="1:11" x14ac:dyDescent="0.3">
      <c r="A623" s="13" t="s">
        <v>533</v>
      </c>
      <c r="B623" s="4" t="s">
        <v>559</v>
      </c>
      <c r="C623" s="4" t="s">
        <v>560</v>
      </c>
      <c r="D623" s="4" t="s">
        <v>9</v>
      </c>
      <c r="E623" s="4"/>
      <c r="F623" s="4"/>
      <c r="G623" s="4"/>
      <c r="H623" s="4"/>
      <c r="I623" s="18" t="e">
        <f>INDEX(M:M,MATCH(A622,O:O,0))</f>
        <v>#N/A</v>
      </c>
      <c r="J623" s="18" t="e">
        <f>INDEX(U:U,MATCH(A622,W:W,0))</f>
        <v>#N/A</v>
      </c>
      <c r="K623" s="19" t="s">
        <v>539</v>
      </c>
    </row>
    <row r="624" spans="1:11" x14ac:dyDescent="0.3">
      <c r="A624" s="13" t="s">
        <v>534</v>
      </c>
      <c r="B624" s="4" t="s">
        <v>559</v>
      </c>
      <c r="C624" s="4" t="s">
        <v>560</v>
      </c>
      <c r="D624" s="4" t="s">
        <v>13</v>
      </c>
      <c r="E624" s="4"/>
      <c r="F624" s="4"/>
      <c r="G624" s="4"/>
      <c r="H624" s="4"/>
      <c r="I624" s="17" t="e">
        <f>INDEX(N:N,MATCH(A624,O:O,0))/100</f>
        <v>#N/A</v>
      </c>
      <c r="J624" s="17" t="e">
        <f>INDEX(V:V,MATCH(A624,W:W,0))/100</f>
        <v>#N/A</v>
      </c>
      <c r="K624" s="18" t="s">
        <v>545</v>
      </c>
    </row>
    <row r="625" spans="1:11" x14ac:dyDescent="0.3">
      <c r="A625" s="13" t="s">
        <v>534</v>
      </c>
      <c r="B625" s="4" t="s">
        <v>559</v>
      </c>
      <c r="C625" s="4" t="s">
        <v>560</v>
      </c>
      <c r="D625" s="4" t="s">
        <v>13</v>
      </c>
      <c r="E625" s="4"/>
      <c r="F625" s="4"/>
      <c r="G625" s="4"/>
      <c r="H625" s="4"/>
      <c r="I625" s="18" t="e">
        <f>INDEX(M:M,MATCH(A624,O:O,0))</f>
        <v>#N/A</v>
      </c>
      <c r="J625" s="18" t="e">
        <f>INDEX(U:U,MATCH(A624,W:W,0))</f>
        <v>#N/A</v>
      </c>
      <c r="K625" s="19" t="s">
        <v>539</v>
      </c>
    </row>
    <row r="626" spans="1:11" x14ac:dyDescent="0.3">
      <c r="A626" s="13" t="s">
        <v>535</v>
      </c>
      <c r="B626" s="4" t="s">
        <v>559</v>
      </c>
      <c r="C626" s="4" t="s">
        <v>560</v>
      </c>
      <c r="D626" s="4" t="s">
        <v>24</v>
      </c>
      <c r="E626" s="4"/>
      <c r="F626" s="4"/>
      <c r="G626" s="4"/>
      <c r="H626" s="4"/>
      <c r="I626" s="17" t="e">
        <f>INDEX(N:N,MATCH(A626,O:O,0))/100</f>
        <v>#N/A</v>
      </c>
      <c r="J626" s="17" t="e">
        <f>INDEX(V:V,MATCH(A626,W:W,0))/100</f>
        <v>#N/A</v>
      </c>
      <c r="K626" s="18" t="s">
        <v>545</v>
      </c>
    </row>
    <row r="627" spans="1:11" x14ac:dyDescent="0.3">
      <c r="A627" s="13" t="s">
        <v>535</v>
      </c>
      <c r="B627" s="4" t="s">
        <v>559</v>
      </c>
      <c r="C627" s="4" t="s">
        <v>560</v>
      </c>
      <c r="D627" s="4" t="s">
        <v>24</v>
      </c>
      <c r="E627" s="4"/>
      <c r="F627" s="4"/>
      <c r="G627" s="4"/>
      <c r="H627" s="4"/>
      <c r="I627" s="18" t="e">
        <f>INDEX(M:M,MATCH(A626,O:O,0))</f>
        <v>#N/A</v>
      </c>
      <c r="J627" s="18" t="e">
        <f>INDEX(U:U,MATCH(A626,W:W,0))</f>
        <v>#N/A</v>
      </c>
      <c r="K627" s="19" t="s">
        <v>539</v>
      </c>
    </row>
    <row r="628" spans="1:11" x14ac:dyDescent="0.3">
      <c r="A628" s="13" t="s">
        <v>536</v>
      </c>
      <c r="B628" s="4" t="s">
        <v>559</v>
      </c>
      <c r="C628" s="4" t="s">
        <v>560</v>
      </c>
      <c r="D628" s="4" t="s">
        <v>25</v>
      </c>
      <c r="E628" s="4"/>
      <c r="F628" s="4"/>
      <c r="G628" s="4"/>
      <c r="H628" s="4"/>
      <c r="I628" s="17" t="e">
        <f>INDEX(N:N,MATCH(A628,O:O,0))/100</f>
        <v>#N/A</v>
      </c>
      <c r="J628" s="17" t="e">
        <f>INDEX(V:V,MATCH(A628,W:W,0))/100</f>
        <v>#N/A</v>
      </c>
      <c r="K628" s="18" t="s">
        <v>545</v>
      </c>
    </row>
    <row r="629" spans="1:11" x14ac:dyDescent="0.3">
      <c r="A629" s="13" t="s">
        <v>536</v>
      </c>
      <c r="B629" s="4" t="s">
        <v>559</v>
      </c>
      <c r="C629" s="4" t="s">
        <v>560</v>
      </c>
      <c r="D629" s="4" t="s">
        <v>25</v>
      </c>
      <c r="E629" s="4"/>
      <c r="F629" s="4"/>
      <c r="G629" s="4"/>
      <c r="H629" s="4"/>
      <c r="I629" s="18" t="e">
        <f>INDEX(M:M,MATCH(A628,O:O,0))</f>
        <v>#N/A</v>
      </c>
      <c r="J629" s="18" t="e">
        <f>INDEX(U:U,MATCH(A628,W:W,0))</f>
        <v>#N/A</v>
      </c>
      <c r="K629" s="19" t="s">
        <v>539</v>
      </c>
    </row>
    <row r="630" spans="1:11" x14ac:dyDescent="0.3">
      <c r="A630" s="13" t="s">
        <v>537</v>
      </c>
      <c r="B630" s="4" t="s">
        <v>559</v>
      </c>
      <c r="C630" s="4" t="s">
        <v>560</v>
      </c>
      <c r="D630" s="4" t="s">
        <v>26</v>
      </c>
      <c r="E630" s="4"/>
      <c r="F630" s="4"/>
      <c r="G630" s="4"/>
      <c r="H630" s="4"/>
      <c r="I630" s="17" t="e">
        <f>INDEX(N:N,MATCH(A630,O:O,0))/100</f>
        <v>#N/A</v>
      </c>
      <c r="J630" s="17" t="e">
        <f>INDEX(V:V,MATCH(A630,W:W,0))/100</f>
        <v>#N/A</v>
      </c>
      <c r="K630" s="18" t="s">
        <v>545</v>
      </c>
    </row>
    <row r="631" spans="1:11" x14ac:dyDescent="0.3">
      <c r="A631" s="13" t="s">
        <v>537</v>
      </c>
      <c r="B631" s="4" t="s">
        <v>559</v>
      </c>
      <c r="C631" s="4" t="s">
        <v>560</v>
      </c>
      <c r="D631" s="4" t="s">
        <v>26</v>
      </c>
      <c r="E631" s="4"/>
      <c r="F631" s="4"/>
      <c r="G631" s="4"/>
      <c r="H631" s="4"/>
      <c r="I631" s="18" t="e">
        <f>INDEX(M:M,MATCH(A630,O:O,0))</f>
        <v>#N/A</v>
      </c>
      <c r="J631" s="18" t="e">
        <f>INDEX(U:U,MATCH(A630,W:W,0))</f>
        <v>#N/A</v>
      </c>
      <c r="K631" s="19" t="s">
        <v>539</v>
      </c>
    </row>
    <row r="632" spans="1:11" x14ac:dyDescent="0.3">
      <c r="A632" s="13" t="s">
        <v>538</v>
      </c>
      <c r="B632" s="4" t="s">
        <v>559</v>
      </c>
      <c r="C632" s="4" t="s">
        <v>560</v>
      </c>
      <c r="D632" s="4" t="s">
        <v>27</v>
      </c>
      <c r="E632" s="4"/>
      <c r="F632" s="4"/>
      <c r="G632" s="4"/>
      <c r="H632" s="4"/>
      <c r="I632" s="17" t="e">
        <f>INDEX(N:N,MATCH(A632,O:O,0))/100</f>
        <v>#N/A</v>
      </c>
      <c r="J632" s="17" t="e">
        <f>INDEX(V:V,MATCH(A632,W:W,0))/100</f>
        <v>#N/A</v>
      </c>
      <c r="K632" s="18" t="s">
        <v>545</v>
      </c>
    </row>
    <row r="633" spans="1:11" x14ac:dyDescent="0.3">
      <c r="A633" s="13" t="s">
        <v>538</v>
      </c>
      <c r="B633" s="4" t="s">
        <v>559</v>
      </c>
      <c r="C633" s="4" t="s">
        <v>560</v>
      </c>
      <c r="D633" s="4" t="s">
        <v>27</v>
      </c>
      <c r="E633" s="4"/>
      <c r="F633" s="4"/>
      <c r="G633" s="4"/>
      <c r="H633" s="4"/>
      <c r="I633" s="18" t="e">
        <f>INDEX(M:M,MATCH(A632,O:O,0))</f>
        <v>#N/A</v>
      </c>
      <c r="J633" s="18" t="e">
        <f>INDEX(U:U,MATCH(A632,W:W,0))</f>
        <v>#N/A</v>
      </c>
      <c r="K633" s="19" t="s">
        <v>539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 filterMode="1"/>
  <dimension ref="A1:O332"/>
  <sheetViews>
    <sheetView workbookViewId="0">
      <selection activeCell="J343" sqref="J343"/>
    </sheetView>
  </sheetViews>
  <sheetFormatPr defaultColWidth="9" defaultRowHeight="14.4" x14ac:dyDescent="0.3"/>
  <cols>
    <col min="1" max="1" width="12.77734375" bestFit="1" customWidth="1"/>
    <col min="2" max="2" width="6" bestFit="1" customWidth="1"/>
    <col min="3" max="3" width="7.5546875" customWidth="1"/>
    <col min="4" max="4" width="14.109375" customWidth="1"/>
    <col min="5" max="5" width="1.109375" customWidth="1"/>
    <col min="6" max="6" width="12.77734375" bestFit="1" customWidth="1"/>
    <col min="7" max="7" width="7" bestFit="1" customWidth="1"/>
    <col min="8" max="8" width="8" bestFit="1" customWidth="1"/>
    <col min="9" max="9" width="14.109375" bestFit="1" customWidth="1"/>
    <col min="10" max="10" width="44.44140625" customWidth="1"/>
    <col min="11" max="11" width="29.109375" bestFit="1" customWidth="1"/>
    <col min="14" max="14" width="152.6640625" bestFit="1" customWidth="1"/>
    <col min="15" max="15" width="112.44140625" bestFit="1" customWidth="1"/>
  </cols>
  <sheetData>
    <row r="1" spans="1:15" x14ac:dyDescent="0.3">
      <c r="A1" s="69" t="s">
        <v>755</v>
      </c>
      <c r="B1" s="69"/>
      <c r="C1" s="69"/>
      <c r="D1" s="69"/>
      <c r="E1" s="34"/>
      <c r="F1" s="69" t="s">
        <v>756</v>
      </c>
      <c r="G1" s="69"/>
      <c r="H1" s="69"/>
      <c r="I1" s="69"/>
      <c r="J1" s="39"/>
      <c r="K1" s="39"/>
    </row>
    <row r="2" spans="1:15" x14ac:dyDescent="0.3">
      <c r="A2" s="32" t="s">
        <v>660</v>
      </c>
      <c r="B2" s="32" t="s">
        <v>661</v>
      </c>
      <c r="C2" s="32" t="s">
        <v>662</v>
      </c>
      <c r="D2" s="32" t="s">
        <v>757</v>
      </c>
      <c r="E2" s="36"/>
      <c r="F2" s="32" t="s">
        <v>660</v>
      </c>
      <c r="G2" s="32" t="s">
        <v>661</v>
      </c>
      <c r="H2" s="32" t="s">
        <v>662</v>
      </c>
      <c r="I2" s="32" t="s">
        <v>757</v>
      </c>
      <c r="J2" s="40"/>
      <c r="K2" s="40"/>
      <c r="N2" t="s">
        <v>763</v>
      </c>
    </row>
    <row r="3" spans="1:15" hidden="1" x14ac:dyDescent="0.3">
      <c r="A3" s="38" t="s">
        <v>605</v>
      </c>
      <c r="B3" s="38">
        <v>1</v>
      </c>
      <c r="C3" s="41">
        <v>1.567E-2</v>
      </c>
      <c r="D3" s="38" t="s">
        <v>765</v>
      </c>
      <c r="E3" s="37"/>
      <c r="F3" s="38" t="s">
        <v>605</v>
      </c>
      <c r="G3" s="38">
        <v>1</v>
      </c>
      <c r="H3" s="41">
        <v>1.567E-2</v>
      </c>
      <c r="I3" t="s">
        <v>762</v>
      </c>
      <c r="J3" s="38" t="s">
        <v>880</v>
      </c>
      <c r="K3" t="str">
        <f>INDEX(psegm!B:B,MATCH(RIGHT(contract!A3,4),psegm!A:A,0))&amp;" - "&amp;IF(MID(A3,2,2)="CA","Cash Advance",IF(MID(A3,2,2)="OC","OCT",IF(MID(A3,2,2)="PC","PWCB",IF(MID(A3,2,2)="RF","Refund"))))</f>
        <v>MasterCard Cr Per - Cash Advance</v>
      </c>
      <c r="L3">
        <v>730</v>
      </c>
      <c r="M3">
        <v>300</v>
      </c>
      <c r="N3" t="str">
        <f>"INSERT INTO [dbo].[Contracts] ([Id], [ChargeCodes], [PPI], [PPC], [MerchanID], [Descriptions]) VALUES ("&amp;L3&amp;", '"&amp;A3&amp;"', '"&amp;B3&amp;"', '"&amp;C3&amp;"', '"&amp;D3&amp;"', '"&amp;K3&amp;"')"</f>
        <v>INSERT INTO [dbo].[Contracts] ([Id], [ChargeCodes], [PPI], [PPC], [MerchanID], [Descriptions]) VALUES (730, 'ACAMCC1', '1', '0.01567', 'Auchan', 'MasterCard Cr Per - Cash Advance')</v>
      </c>
      <c r="O3" t="str">
        <f>"INSERT INTO [dbo].[Contracts] ([Id], [M1ChargeCodes], [M1PPI], [M1PPC], [M1MerchanID]) VALUES ("&amp;M3&amp;", '"&amp;F3&amp;"', '"&amp;G3&amp;"', '"&amp;H3&amp;"', '"&amp;I3&amp;"')"</f>
        <v>INSERT INTO [dbo].[Contracts] ([Id], [M1ChargeCodes], [M1PPI], [M1PPC], [M1MerchanID]) VALUES (300, 'ACAMCC1', '1', '0.01567', 'MERCH00002')</v>
      </c>
    </row>
    <row r="4" spans="1:15" hidden="1" x14ac:dyDescent="0.3">
      <c r="A4" s="38" t="s">
        <v>606</v>
      </c>
      <c r="B4" s="38">
        <v>1</v>
      </c>
      <c r="C4" s="41">
        <v>1.567E-2</v>
      </c>
      <c r="D4" s="38" t="s">
        <v>765</v>
      </c>
      <c r="E4" s="37"/>
      <c r="F4" s="38" t="s">
        <v>606</v>
      </c>
      <c r="G4" s="38">
        <v>1</v>
      </c>
      <c r="H4" s="41">
        <v>1.567E-2</v>
      </c>
      <c r="I4" t="s">
        <v>762</v>
      </c>
      <c r="J4" s="38" t="s">
        <v>881</v>
      </c>
      <c r="K4" t="str">
        <f>INDEX(psegm!B:B,MATCH(RIGHT(contract!A4,4),psegm!A:A,0))&amp;" - "&amp;IF(MID(A4,2,2)="CA","Cash Advance",IF(MID(A4,2,2)="OC","OCT",IF(MID(A4,2,2)="PC","PWCB",IF(MID(A4,2,2)="RF","Refund"))))</f>
        <v>MasterCard Business - Cash Advance</v>
      </c>
      <c r="L4">
        <v>731</v>
      </c>
      <c r="M4">
        <v>301</v>
      </c>
      <c r="N4" t="str">
        <f t="shared" ref="N4:N67" si="0">"INSERT INTO [dbo].[Contracts] ([Id], [ChargeCodes], [PPI], [PPC], [MerchanID], [Descriptions]) VALUES ("&amp;L4&amp;", '"&amp;A4&amp;"', '"&amp;B4&amp;"', '"&amp;C4&amp;"', '"&amp;D4&amp;"', '"&amp;K4&amp;"')"</f>
        <v>INSERT INTO [dbo].[Contracts] ([Id], [ChargeCodes], [PPI], [PPC], [MerchanID], [Descriptions]) VALUES (731, 'ACAMCC2', '1', '0.01567', 'Auchan', 'MasterCard Business - Cash Advance')</v>
      </c>
      <c r="O4" t="str">
        <f t="shared" ref="O4:O67" si="1">"INSERT INTO [dbo].[Contracts] ([Id], [M1ChargeCodes], [M1PPI], [M1PPC], [M1MerchanID]) VALUES ("&amp;M4&amp;", '"&amp;F4&amp;"', '"&amp;G4&amp;"', '"&amp;H4&amp;"', '"&amp;I4&amp;"')"</f>
        <v>INSERT INTO [dbo].[Contracts] ([Id], [M1ChargeCodes], [M1PPI], [M1PPC], [M1MerchanID]) VALUES (301, 'ACAMCC2', '1', '0.01567', 'MERCH00002')</v>
      </c>
    </row>
    <row r="5" spans="1:15" hidden="1" x14ac:dyDescent="0.3">
      <c r="A5" s="38" t="s">
        <v>607</v>
      </c>
      <c r="B5" s="38">
        <v>1</v>
      </c>
      <c r="C5" s="41">
        <v>1.567E-2</v>
      </c>
      <c r="D5" s="38" t="s">
        <v>765</v>
      </c>
      <c r="E5" s="37"/>
      <c r="F5" s="38" t="s">
        <v>607</v>
      </c>
      <c r="G5" s="38">
        <v>1</v>
      </c>
      <c r="H5" s="41">
        <v>1.567E-2</v>
      </c>
      <c r="I5" t="s">
        <v>762</v>
      </c>
      <c r="J5" s="38" t="s">
        <v>882</v>
      </c>
      <c r="K5" t="str">
        <f>INDEX(psegm!B:B,MATCH(RIGHT(contract!A5,4),psegm!A:A,0))&amp;" - "&amp;IF(MID(A5,2,2)="CA","Cash Advance",IF(MID(A5,2,2)="OC","OCT",IF(MID(A5,2,2)="PC","PWCB",IF(MID(A5,2,2)="RF","Refund"))))</f>
        <v>MasterCard Fleet - Cash Advance</v>
      </c>
      <c r="L5">
        <v>732</v>
      </c>
      <c r="M5">
        <v>302</v>
      </c>
      <c r="N5" t="str">
        <f t="shared" si="0"/>
        <v>INSERT INTO [dbo].[Contracts] ([Id], [ChargeCodes], [PPI], [PPC], [MerchanID], [Descriptions]) VALUES (732, 'ACAMCC3', '1', '0.01567', 'Auchan', 'MasterCard Fleet - Cash Advance')</v>
      </c>
      <c r="O5" t="str">
        <f t="shared" si="1"/>
        <v>INSERT INTO [dbo].[Contracts] ([Id], [M1ChargeCodes], [M1PPI], [M1PPC], [M1MerchanID]) VALUES (302, 'ACAMCC3', '1', '0.01567', 'MERCH00002')</v>
      </c>
    </row>
    <row r="6" spans="1:15" hidden="1" x14ac:dyDescent="0.3">
      <c r="A6" s="38" t="s">
        <v>608</v>
      </c>
      <c r="B6" s="38">
        <v>1</v>
      </c>
      <c r="C6" s="41">
        <v>1.567E-2</v>
      </c>
      <c r="D6" s="38" t="s">
        <v>765</v>
      </c>
      <c r="E6" s="37"/>
      <c r="F6" s="38" t="s">
        <v>608</v>
      </c>
      <c r="G6" s="38">
        <v>1</v>
      </c>
      <c r="H6" s="41">
        <v>1.567E-2</v>
      </c>
      <c r="I6" t="s">
        <v>762</v>
      </c>
      <c r="J6" s="38" t="s">
        <v>883</v>
      </c>
      <c r="K6" t="str">
        <f>INDEX(psegm!B:B,MATCH(RIGHT(contract!A6,4),psegm!A:A,0))&amp;" - "&amp;IF(MID(A6,2,2)="CA","Cash Advance",IF(MID(A6,2,2)="OC","OCT",IF(MID(A6,2,2)="PC","PWCB",IF(MID(A6,2,2)="RF","Refund"))))</f>
        <v>MasterCard Corporate - Cash Advance</v>
      </c>
      <c r="L6">
        <v>733</v>
      </c>
      <c r="M6">
        <v>303</v>
      </c>
      <c r="N6" t="str">
        <f t="shared" si="0"/>
        <v>INSERT INTO [dbo].[Contracts] ([Id], [ChargeCodes], [PPI], [PPC], [MerchanID], [Descriptions]) VALUES (733, 'ACAMCC4', '1', '0.01567', 'Auchan', 'MasterCard Corporate - Cash Advance')</v>
      </c>
      <c r="O6" t="str">
        <f t="shared" si="1"/>
        <v>INSERT INTO [dbo].[Contracts] ([Id], [M1ChargeCodes], [M1PPI], [M1PPC], [M1MerchanID]) VALUES (303, 'ACAMCC4', '1', '0.01567', 'MERCH00002')</v>
      </c>
    </row>
    <row r="7" spans="1:15" hidden="1" x14ac:dyDescent="0.3">
      <c r="A7" s="38" t="s">
        <v>609</v>
      </c>
      <c r="B7" s="38">
        <v>1</v>
      </c>
      <c r="C7" s="41">
        <v>1.567E-2</v>
      </c>
      <c r="D7" s="38" t="s">
        <v>765</v>
      </c>
      <c r="E7" s="37"/>
      <c r="F7" s="38" t="s">
        <v>609</v>
      </c>
      <c r="G7" s="38">
        <v>1</v>
      </c>
      <c r="H7" s="41">
        <v>1.567E-2</v>
      </c>
      <c r="I7" t="s">
        <v>762</v>
      </c>
      <c r="J7" s="38" t="s">
        <v>884</v>
      </c>
      <c r="K7" t="str">
        <f>INDEX(psegm!B:B,MATCH(RIGHT(contract!A7,4),psegm!A:A,0))&amp;" - "&amp;IF(MID(A7,2,2)="CA","Cash Advance",IF(MID(A7,2,2)="OC","OCT",IF(MID(A7,2,2)="PC","PWCB",IF(MID(A7,2,2)="RF","Refund"))))</f>
        <v>MasterCard Purchase - Cash Advance</v>
      </c>
      <c r="L7">
        <v>734</v>
      </c>
      <c r="M7">
        <v>304</v>
      </c>
      <c r="N7" t="str">
        <f t="shared" si="0"/>
        <v>INSERT INTO [dbo].[Contracts] ([Id], [ChargeCodes], [PPI], [PPC], [MerchanID], [Descriptions]) VALUES (734, 'ACAMCC5', '1', '0.01567', 'Auchan', 'MasterCard Purchase - Cash Advance')</v>
      </c>
      <c r="O7" t="str">
        <f t="shared" si="1"/>
        <v>INSERT INTO [dbo].[Contracts] ([Id], [M1ChargeCodes], [M1PPI], [M1PPC], [M1MerchanID]) VALUES (304, 'ACAMCC5', '1', '0.01567', 'MERCH00002')</v>
      </c>
    </row>
    <row r="8" spans="1:15" hidden="1" x14ac:dyDescent="0.3">
      <c r="A8" s="38" t="s">
        <v>160</v>
      </c>
      <c r="B8" s="38">
        <v>1</v>
      </c>
      <c r="C8" s="41">
        <v>1.567E-2</v>
      </c>
      <c r="D8" s="38" t="s">
        <v>765</v>
      </c>
      <c r="E8" s="37"/>
      <c r="F8" s="38" t="s">
        <v>160</v>
      </c>
      <c r="G8" s="38">
        <v>1</v>
      </c>
      <c r="H8" s="41">
        <v>1.567E-2</v>
      </c>
      <c r="I8" t="s">
        <v>762</v>
      </c>
      <c r="J8" s="38" t="s">
        <v>885</v>
      </c>
      <c r="K8" t="str">
        <f>INDEX(psegm!B:B,MATCH(RIGHT(contract!A8,4),psegm!A:A,0))&amp;" - "&amp;IF(MID(A8,2,2)="CA","Cash Advance",IF(MID(A8,2,2)="OC","OCT",IF(MID(A8,2,2)="PC","PWCB",IF(MID(A8,2,2)="RF","Refund"))))</f>
        <v>MasterCard Signia - Cash Advance</v>
      </c>
      <c r="L8">
        <v>735</v>
      </c>
      <c r="M8">
        <v>305</v>
      </c>
      <c r="N8" t="str">
        <f t="shared" si="0"/>
        <v>INSERT INTO [dbo].[Contracts] ([Id], [ChargeCodes], [PPI], [PPC], [MerchanID], [Descriptions]) VALUES (735, 'ACAMCC6', '1', '0.01567', 'Auchan', 'MasterCard Signia - Cash Advance')</v>
      </c>
      <c r="O8" t="str">
        <f t="shared" si="1"/>
        <v>INSERT INTO [dbo].[Contracts] ([Id], [M1ChargeCodes], [M1PPI], [M1PPC], [M1MerchanID]) VALUES (305, 'ACAMCC6', '1', '0.01567', 'MERCH00002')</v>
      </c>
    </row>
    <row r="9" spans="1:15" hidden="1" x14ac:dyDescent="0.3">
      <c r="A9" s="38" t="s">
        <v>612</v>
      </c>
      <c r="B9" s="38">
        <v>1</v>
      </c>
      <c r="C9" s="41">
        <v>1.567E-2</v>
      </c>
      <c r="D9" s="38" t="s">
        <v>765</v>
      </c>
      <c r="E9" s="37"/>
      <c r="F9" s="38" t="s">
        <v>612</v>
      </c>
      <c r="G9" s="38">
        <v>1</v>
      </c>
      <c r="H9" s="41">
        <v>1.567E-2</v>
      </c>
      <c r="I9" t="s">
        <v>762</v>
      </c>
      <c r="J9" s="38" t="s">
        <v>886</v>
      </c>
      <c r="K9" t="str">
        <f>INDEX(psegm!B:B,MATCH(RIGHT(contract!A9,4),psegm!A:A,0))&amp;" - "&amp;IF(MID(A9,2,2)="CA","Cash Advance",IF(MID(A9,2,2)="OC","OCT",IF(MID(A9,2,2)="PC","PWCB",IF(MID(A9,2,2)="RF","Refund"))))</f>
        <v>MasterCard World - Cash Advance</v>
      </c>
      <c r="L9">
        <v>736</v>
      </c>
      <c r="M9">
        <v>306</v>
      </c>
      <c r="N9" t="str">
        <f t="shared" si="0"/>
        <v>INSERT INTO [dbo].[Contracts] ([Id], [ChargeCodes], [PPI], [PPC], [MerchanID], [Descriptions]) VALUES (736, 'ACAMCC7', '1', '0.01567', 'Auchan', 'MasterCard World - Cash Advance')</v>
      </c>
      <c r="O9" t="str">
        <f t="shared" si="1"/>
        <v>INSERT INTO [dbo].[Contracts] ([Id], [M1ChargeCodes], [M1PPI], [M1PPC], [M1MerchanID]) VALUES (306, 'ACAMCC7', '1', '0.01567', 'MERCH00002')</v>
      </c>
    </row>
    <row r="10" spans="1:15" hidden="1" x14ac:dyDescent="0.3">
      <c r="A10" s="38" t="s">
        <v>668</v>
      </c>
      <c r="B10" s="38">
        <v>1</v>
      </c>
      <c r="C10" s="41">
        <v>1.567E-2</v>
      </c>
      <c r="D10" s="38" t="s">
        <v>765</v>
      </c>
      <c r="E10" s="37"/>
      <c r="F10" s="38" t="s">
        <v>668</v>
      </c>
      <c r="G10" s="38">
        <v>1</v>
      </c>
      <c r="H10" s="41">
        <v>1.567E-2</v>
      </c>
      <c r="I10" t="s">
        <v>762</v>
      </c>
      <c r="J10" s="38" t="s">
        <v>887</v>
      </c>
      <c r="K10" t="str">
        <f>INDEX(psegm!B:B,MATCH(RIGHT(contract!A10,4),psegm!A:A,0))&amp;" - "&amp;IF(MID(A10,2,2)="CA","Cash Advance",IF(MID(A10,2,2)="OC","OCT",IF(MID(A10,2,2)="PC","PWCB",IF(MID(A10,2,2)="RF","Refund"))))</f>
        <v>MasterCard Comm - Cash Advance</v>
      </c>
      <c r="L10">
        <v>737</v>
      </c>
      <c r="M10">
        <v>307</v>
      </c>
      <c r="N10" t="str">
        <f t="shared" si="0"/>
        <v>INSERT INTO [dbo].[Contracts] ([Id], [ChargeCodes], [PPI], [PPC], [MerchanID], [Descriptions]) VALUES (737, 'ACAMCC8', '1', '0.01567', 'Auchan', 'MasterCard Comm - Cash Advance')</v>
      </c>
      <c r="O10" t="str">
        <f t="shared" si="1"/>
        <v>INSERT INTO [dbo].[Contracts] ([Id], [M1ChargeCodes], [M1PPI], [M1PPC], [M1MerchanID]) VALUES (307, 'ACAMCC8', '1', '0.01567', 'MERCH00002')</v>
      </c>
    </row>
    <row r="11" spans="1:15" hidden="1" x14ac:dyDescent="0.3">
      <c r="A11" s="38" t="s">
        <v>669</v>
      </c>
      <c r="B11" s="38">
        <v>1</v>
      </c>
      <c r="C11" s="41">
        <v>1.567E-2</v>
      </c>
      <c r="D11" s="38" t="s">
        <v>765</v>
      </c>
      <c r="E11" s="37"/>
      <c r="F11" s="38" t="s">
        <v>669</v>
      </c>
      <c r="G11" s="38">
        <v>1</v>
      </c>
      <c r="H11" s="41">
        <v>1.567E-2</v>
      </c>
      <c r="I11" t="s">
        <v>762</v>
      </c>
      <c r="J11" s="38" t="s">
        <v>880</v>
      </c>
      <c r="K11" t="str">
        <f>INDEX(psegm!B:B,MATCH(RIGHT(contract!A11,4),psegm!A:A,0))&amp;" - "&amp;IF(MID(A11,2,2)="CA","Cash Advance",IF(MID(A11,2,2)="OC","OCT",IF(MID(A11,2,2)="PC","PWCB",IF(MID(A11,2,2)="RF","Refund"))))</f>
        <v>MasterCard Cr Per - Cash Advance</v>
      </c>
      <c r="L11">
        <v>738</v>
      </c>
      <c r="M11">
        <v>308</v>
      </c>
      <c r="N11" t="str">
        <f t="shared" si="0"/>
        <v>INSERT INTO [dbo].[Contracts] ([Id], [ChargeCodes], [PPI], [PPC], [MerchanID], [Descriptions]) VALUES (738, 'ACAMCC9', '1', '0.01567', 'Auchan', 'MasterCard Cr Per - Cash Advance')</v>
      </c>
      <c r="O11" t="str">
        <f t="shared" si="1"/>
        <v>INSERT INTO [dbo].[Contracts] ([Id], [M1ChargeCodes], [M1PPI], [M1PPC], [M1MerchanID]) VALUES (308, 'ACAMCC9', '1', '0.01567', 'MERCH00002')</v>
      </c>
    </row>
    <row r="12" spans="1:15" hidden="1" x14ac:dyDescent="0.3">
      <c r="A12" s="38" t="s">
        <v>610</v>
      </c>
      <c r="B12" s="38">
        <v>1</v>
      </c>
      <c r="C12" s="41">
        <v>1.567E-2</v>
      </c>
      <c r="D12" s="38" t="s">
        <v>765</v>
      </c>
      <c r="E12" s="37"/>
      <c r="F12" s="38" t="s">
        <v>610</v>
      </c>
      <c r="G12" s="38">
        <v>1</v>
      </c>
      <c r="H12" s="41">
        <v>1.567E-2</v>
      </c>
      <c r="I12" t="s">
        <v>762</v>
      </c>
      <c r="J12" s="38" t="s">
        <v>888</v>
      </c>
      <c r="K12" t="str">
        <f>INDEX(psegm!B:B,MATCH(RIGHT(contract!A12,4),psegm!A:A,0))&amp;" - "&amp;IF(MID(A12,2,2)="CA","Cash Advance",IF(MID(A12,2,2)="OC","OCT",IF(MID(A12,2,2)="PC","PWCB",IF(MID(A12,2,2)="RF","Refund"))))</f>
        <v>MasterCardDr Com Int - Cash Advance</v>
      </c>
      <c r="L12">
        <v>739</v>
      </c>
      <c r="M12">
        <v>309</v>
      </c>
      <c r="N12" t="str">
        <f t="shared" si="0"/>
        <v>INSERT INTO [dbo].[Contracts] ([Id], [ChargeCodes], [PPI], [PPC], [MerchanID], [Descriptions]) VALUES (739, 'ACAMCD1', '1', '0.01567', 'Auchan', 'MasterCardDr Com Int - Cash Advance')</v>
      </c>
      <c r="O12" t="str">
        <f t="shared" si="1"/>
        <v>INSERT INTO [dbo].[Contracts] ([Id], [M1ChargeCodes], [M1PPI], [M1PPC], [M1MerchanID]) VALUES (309, 'ACAMCD1', '1', '0.01567', 'MERCH00002')</v>
      </c>
    </row>
    <row r="13" spans="1:15" hidden="1" x14ac:dyDescent="0.3">
      <c r="A13" s="38" t="s">
        <v>611</v>
      </c>
      <c r="B13" s="38">
        <v>1</v>
      </c>
      <c r="C13" s="41">
        <v>1.567E-2</v>
      </c>
      <c r="D13" s="38" t="s">
        <v>765</v>
      </c>
      <c r="E13" s="37"/>
      <c r="F13" s="38" t="s">
        <v>611</v>
      </c>
      <c r="G13" s="38">
        <v>1</v>
      </c>
      <c r="H13" s="41">
        <v>1.567E-2</v>
      </c>
      <c r="I13" t="s">
        <v>762</v>
      </c>
      <c r="J13" s="38" t="s">
        <v>889</v>
      </c>
      <c r="K13" t="str">
        <f>INDEX(psegm!B:B,MATCH(RIGHT(contract!A13,4),psegm!A:A,0))&amp;" - "&amp;IF(MID(A13,2,2)="CA","Cash Advance",IF(MID(A13,2,2)="OC","OCT",IF(MID(A13,2,2)="PC","PWCB",IF(MID(A13,2,2)="RF","Refund"))))</f>
        <v>MasterCardDr Per Int - Cash Advance</v>
      </c>
      <c r="L13">
        <v>740</v>
      </c>
      <c r="M13">
        <v>310</v>
      </c>
      <c r="N13" t="str">
        <f t="shared" si="0"/>
        <v>INSERT INTO [dbo].[Contracts] ([Id], [ChargeCodes], [PPI], [PPC], [MerchanID], [Descriptions]) VALUES (740, 'ACAMCD2', '1', '0.01567', 'Auchan', 'MasterCardDr Per Int - Cash Advance')</v>
      </c>
      <c r="O13" t="str">
        <f t="shared" si="1"/>
        <v>INSERT INTO [dbo].[Contracts] ([Id], [M1ChargeCodes], [M1PPI], [M1PPC], [M1MerchanID]) VALUES (310, 'ACAMCD2', '1', '0.01567', 'MERCH00002')</v>
      </c>
    </row>
    <row r="14" spans="1:15" hidden="1" x14ac:dyDescent="0.3">
      <c r="A14" s="38" t="s">
        <v>619</v>
      </c>
      <c r="B14" s="38">
        <v>1</v>
      </c>
      <c r="C14" s="41">
        <v>1.567E-2</v>
      </c>
      <c r="D14" s="38" t="s">
        <v>765</v>
      </c>
      <c r="E14" s="37"/>
      <c r="F14" s="38" t="s">
        <v>619</v>
      </c>
      <c r="G14" s="38">
        <v>1</v>
      </c>
      <c r="H14" s="41">
        <v>1.567E-2</v>
      </c>
      <c r="I14" t="s">
        <v>762</v>
      </c>
      <c r="J14" s="38" t="s">
        <v>890</v>
      </c>
      <c r="K14" t="str">
        <f>INDEX(psegm!B:B,MATCH(RIGHT(contract!A14,4),psegm!A:A,0))&amp;" - "&amp;IF(MID(A14,2,2)="CA","Cash Advance",IF(MID(A14,2,2)="OC","OCT",IF(MID(A14,2,2)="PC","PWCB",IF(MID(A14,2,2)="RF","Refund"))))</f>
        <v>Dr MasterCard EEA - Cash Advance</v>
      </c>
      <c r="L14">
        <v>741</v>
      </c>
      <c r="M14">
        <v>311</v>
      </c>
      <c r="N14" t="str">
        <f t="shared" si="0"/>
        <v>INSERT INTO [dbo].[Contracts] ([Id], [ChargeCodes], [PPI], [PPC], [MerchanID], [Descriptions]) VALUES (741, 'ACAMCD3', '1', '0.01567', 'Auchan', 'Dr MasterCard EEA - Cash Advance')</v>
      </c>
      <c r="O14" t="str">
        <f t="shared" si="1"/>
        <v>INSERT INTO [dbo].[Contracts] ([Id], [M1ChargeCodes], [M1PPI], [M1PPC], [M1MerchanID]) VALUES (311, 'ACAMCD3', '1', '0.01567', 'MERCH00002')</v>
      </c>
    </row>
    <row r="15" spans="1:15" hidden="1" x14ac:dyDescent="0.3">
      <c r="A15" s="38" t="s">
        <v>670</v>
      </c>
      <c r="B15" s="38">
        <v>1</v>
      </c>
      <c r="C15" s="41">
        <v>1.567E-2</v>
      </c>
      <c r="D15" s="38" t="s">
        <v>765</v>
      </c>
      <c r="E15" s="37"/>
      <c r="F15" s="38" t="s">
        <v>670</v>
      </c>
      <c r="G15" s="38">
        <v>1</v>
      </c>
      <c r="H15" s="41">
        <v>1.567E-2</v>
      </c>
      <c r="I15" t="s">
        <v>762</v>
      </c>
      <c r="J15" s="38" t="s">
        <v>891</v>
      </c>
      <c r="K15" t="str">
        <f>INDEX(psegm!B:B,MATCH(RIGHT(contract!A15,4),psegm!A:A,0))&amp;" - "&amp;IF(MID(A15,2,2)="CA","Cash Advance",IF(MID(A15,2,2)="OC","OCT",IF(MID(A15,2,2)="PC","PWCB",IF(MID(A15,2,2)="RF","Refund"))))</f>
        <v>Debit MasterCard Per Int - Cash Advance</v>
      </c>
      <c r="L15">
        <v>742</v>
      </c>
      <c r="M15">
        <v>312</v>
      </c>
      <c r="N15" t="str">
        <f t="shared" si="0"/>
        <v>INSERT INTO [dbo].[Contracts] ([Id], [ChargeCodes], [PPI], [PPC], [MerchanID], [Descriptions]) VALUES (742, 'ACAMCD4', '1', '0.01567', 'Auchan', 'Debit MasterCard Per Int - Cash Advance')</v>
      </c>
      <c r="O15" t="str">
        <f t="shared" si="1"/>
        <v>INSERT INTO [dbo].[Contracts] ([Id], [M1ChargeCodes], [M1PPI], [M1PPC], [M1MerchanID]) VALUES (312, 'ACAMCD4', '1', '0.01567', 'MERCH00002')</v>
      </c>
    </row>
    <row r="16" spans="1:15" hidden="1" x14ac:dyDescent="0.3">
      <c r="A16" s="38" t="s">
        <v>671</v>
      </c>
      <c r="B16" s="38">
        <v>1</v>
      </c>
      <c r="C16" s="41">
        <v>1.567E-2</v>
      </c>
      <c r="D16" s="38" t="s">
        <v>765</v>
      </c>
      <c r="E16" s="37"/>
      <c r="F16" s="38" t="s">
        <v>671</v>
      </c>
      <c r="G16" s="38">
        <v>1</v>
      </c>
      <c r="H16" s="41">
        <v>1.567E-2</v>
      </c>
      <c r="I16" t="s">
        <v>762</v>
      </c>
      <c r="J16" s="38" t="s">
        <v>892</v>
      </c>
      <c r="K16" t="str">
        <f>INDEX(psegm!B:B,MATCH(RIGHT(contract!A16,4),psegm!A:A,0))&amp;" - "&amp;IF(MID(A16,2,2)="CA","Cash Advance",IF(MID(A16,2,2)="OC","OCT",IF(MID(A16,2,2)="PC","PWCB",IF(MID(A16,2,2)="RF","Refund"))))</f>
        <v>Debit MasterCard Com Int - Cash Advance</v>
      </c>
      <c r="L16">
        <v>743</v>
      </c>
      <c r="M16">
        <v>313</v>
      </c>
      <c r="N16" t="str">
        <f t="shared" si="0"/>
        <v>INSERT INTO [dbo].[Contracts] ([Id], [ChargeCodes], [PPI], [PPC], [MerchanID], [Descriptions]) VALUES (743, 'ACAMCD5', '1', '0.01567', 'Auchan', 'Debit MasterCard Com Int - Cash Advance')</v>
      </c>
      <c r="O16" t="str">
        <f t="shared" si="1"/>
        <v>INSERT INTO [dbo].[Contracts] ([Id], [M1ChargeCodes], [M1PPI], [M1PPC], [M1MerchanID]) VALUES (313, 'ACAMCD5', '1', '0.01567', 'MERCH00002')</v>
      </c>
    </row>
    <row r="17" spans="1:15" hidden="1" x14ac:dyDescent="0.3">
      <c r="A17" s="38" t="s">
        <v>672</v>
      </c>
      <c r="B17" s="38">
        <v>1</v>
      </c>
      <c r="C17" s="41">
        <v>1.567E-2</v>
      </c>
      <c r="D17" s="38" t="s">
        <v>765</v>
      </c>
      <c r="E17" s="37"/>
      <c r="F17" s="38" t="s">
        <v>672</v>
      </c>
      <c r="G17" s="38">
        <v>1</v>
      </c>
      <c r="H17" s="41">
        <v>1.567E-2</v>
      </c>
      <c r="I17" t="s">
        <v>762</v>
      </c>
      <c r="J17" s="38" t="s">
        <v>893</v>
      </c>
      <c r="K17" t="str">
        <f>INDEX(psegm!B:B,MATCH(RIGHT(contract!A17,4),psegm!A:A,0))&amp;" - "&amp;IF(MID(A17,2,2)="CA","Cash Advance",IF(MID(A17,2,2)="OC","OCT",IF(MID(A17,2,2)="PC","PWCB",IF(MID(A17,2,2)="RF","Refund"))))</f>
        <v>Maestro UK (DOM) Com - Cash Advance</v>
      </c>
      <c r="L17">
        <v>744</v>
      </c>
      <c r="M17">
        <v>314</v>
      </c>
      <c r="N17" t="str">
        <f t="shared" si="0"/>
        <v>INSERT INTO [dbo].[Contracts] ([Id], [ChargeCodes], [PPI], [PPC], [MerchanID], [Descriptions]) VALUES (744, 'ACAMCD6', '1', '0.01567', 'Auchan', 'Maestro UK (DOM) Com - Cash Advance')</v>
      </c>
      <c r="O17" t="str">
        <f t="shared" si="1"/>
        <v>INSERT INTO [dbo].[Contracts] ([Id], [M1ChargeCodes], [M1PPI], [M1PPC], [M1MerchanID]) VALUES (314, 'ACAMCD6', '1', '0.01567', 'MERCH00002')</v>
      </c>
    </row>
    <row r="18" spans="1:15" hidden="1" x14ac:dyDescent="0.3">
      <c r="A18" s="38" t="s">
        <v>673</v>
      </c>
      <c r="B18" s="38">
        <v>1</v>
      </c>
      <c r="C18" s="41">
        <v>1.567E-2</v>
      </c>
      <c r="D18" s="38" t="s">
        <v>765</v>
      </c>
      <c r="E18" s="37"/>
      <c r="F18" s="38" t="s">
        <v>673</v>
      </c>
      <c r="G18" s="38">
        <v>1</v>
      </c>
      <c r="H18" s="41">
        <v>1.567E-2</v>
      </c>
      <c r="I18" t="s">
        <v>762</v>
      </c>
      <c r="J18" s="38" t="s">
        <v>894</v>
      </c>
      <c r="K18" t="str">
        <f>INDEX(psegm!B:B,MATCH(RIGHT(contract!A18,4),psegm!A:A,0))&amp;" - "&amp;IF(MID(A18,2,2)="CA","Cash Advance",IF(MID(A18,2,2)="OC","OCT",IF(MID(A18,2,2)="PC","PWCB",IF(MID(A18,2,2)="RF","Refund"))))</f>
        <v>Maestro Intl Com - Cash Advance</v>
      </c>
      <c r="L18">
        <v>745</v>
      </c>
      <c r="M18">
        <v>315</v>
      </c>
      <c r="N18" t="str">
        <f t="shared" si="0"/>
        <v>INSERT INTO [dbo].[Contracts] ([Id], [ChargeCodes], [PPI], [PPC], [MerchanID], [Descriptions]) VALUES (745, 'ACAMCD7', '1', '0.01567', 'Auchan', 'Maestro Intl Com - Cash Advance')</v>
      </c>
      <c r="O18" t="str">
        <f t="shared" si="1"/>
        <v>INSERT INTO [dbo].[Contracts] ([Id], [M1ChargeCodes], [M1PPI], [M1PPC], [M1MerchanID]) VALUES (315, 'ACAMCD7', '1', '0.01567', 'MERCH00002')</v>
      </c>
    </row>
    <row r="19" spans="1:15" hidden="1" x14ac:dyDescent="0.3">
      <c r="A19" s="38" t="s">
        <v>620</v>
      </c>
      <c r="B19" s="38">
        <v>1</v>
      </c>
      <c r="C19" s="41">
        <v>1.567E-2</v>
      </c>
      <c r="D19" s="38" t="s">
        <v>765</v>
      </c>
      <c r="E19" s="37"/>
      <c r="F19" s="38" t="s">
        <v>620</v>
      </c>
      <c r="G19" s="38">
        <v>1</v>
      </c>
      <c r="H19" s="41">
        <v>1.567E-2</v>
      </c>
      <c r="I19" t="s">
        <v>762</v>
      </c>
      <c r="J19" s="38" t="s">
        <v>895</v>
      </c>
      <c r="K19" t="str">
        <f>INDEX(psegm!B:B,MATCH(RIGHT(contract!A19,4),psegm!A:A,0))&amp;" - "&amp;IF(MID(A19,2,2)="CA","Cash Advance",IF(MID(A19,2,2)="OC","OCT",IF(MID(A19,2,2)="PC","PWCB",IF(MID(A19,2,2)="RF","Refund"))))</f>
        <v>Maestro UK (DOM) Per - Cash Advance</v>
      </c>
      <c r="L19">
        <v>746</v>
      </c>
      <c r="M19">
        <v>316</v>
      </c>
      <c r="N19" t="str">
        <f t="shared" si="0"/>
        <v>INSERT INTO [dbo].[Contracts] ([Id], [ChargeCodes], [PPI], [PPC], [MerchanID], [Descriptions]) VALUES (746, 'ACAMCD8', '1', '0.01567', 'Auchan', 'Maestro UK (DOM) Per - Cash Advance')</v>
      </c>
      <c r="O19" t="str">
        <f t="shared" si="1"/>
        <v>INSERT INTO [dbo].[Contracts] ([Id], [M1ChargeCodes], [M1PPI], [M1PPC], [M1MerchanID]) VALUES (316, 'ACAMCD8', '1', '0.01567', 'MERCH00002')</v>
      </c>
    </row>
    <row r="20" spans="1:15" hidden="1" x14ac:dyDescent="0.3">
      <c r="A20" s="38" t="s">
        <v>674</v>
      </c>
      <c r="B20" s="38">
        <v>1</v>
      </c>
      <c r="C20" s="41">
        <v>1.567E-2</v>
      </c>
      <c r="D20" s="38" t="s">
        <v>765</v>
      </c>
      <c r="E20" s="37"/>
      <c r="F20" s="38" t="s">
        <v>674</v>
      </c>
      <c r="G20" s="38">
        <v>1</v>
      </c>
      <c r="H20" s="41">
        <v>1.567E-2</v>
      </c>
      <c r="I20" t="s">
        <v>762</v>
      </c>
      <c r="J20" s="38" t="s">
        <v>896</v>
      </c>
      <c r="K20" t="str">
        <f>INDEX(psegm!B:B,MATCH(RIGHT(contract!A20,4),psegm!A:A,0))&amp;" - "&amp;IF(MID(A20,2,2)="CA","Cash Advance",IF(MID(A20,2,2)="OC","OCT",IF(MID(A20,2,2)="PC","PWCB",IF(MID(A20,2,2)="RF","Refund"))))</f>
        <v>Maestro Intl Per - Cash Advance</v>
      </c>
      <c r="L20">
        <v>747</v>
      </c>
      <c r="M20">
        <v>317</v>
      </c>
      <c r="N20" t="str">
        <f t="shared" si="0"/>
        <v>INSERT INTO [dbo].[Contracts] ([Id], [ChargeCodes], [PPI], [PPC], [MerchanID], [Descriptions]) VALUES (747, 'ACAMCD9', '1', '0.01567', 'Auchan', 'Maestro Intl Per - Cash Advance')</v>
      </c>
      <c r="O20" t="str">
        <f t="shared" si="1"/>
        <v>INSERT INTO [dbo].[Contracts] ([Id], [M1ChargeCodes], [M1PPI], [M1PPC], [M1MerchanID]) VALUES (317, 'ACAMCD9', '1', '0.01567', 'MERCH00002')</v>
      </c>
    </row>
    <row r="21" spans="1:15" hidden="1" x14ac:dyDescent="0.3">
      <c r="A21" s="38" t="s">
        <v>675</v>
      </c>
      <c r="B21" s="38">
        <v>1</v>
      </c>
      <c r="C21" s="41">
        <v>1.567E-2</v>
      </c>
      <c r="D21" s="38" t="s">
        <v>765</v>
      </c>
      <c r="E21" s="37"/>
      <c r="F21" s="38" t="s">
        <v>675</v>
      </c>
      <c r="G21" s="38">
        <v>1</v>
      </c>
      <c r="H21" s="41">
        <v>1.567E-2</v>
      </c>
      <c r="I21" t="s">
        <v>762</v>
      </c>
      <c r="J21" s="38" t="s">
        <v>892</v>
      </c>
      <c r="K21" t="str">
        <f>INDEX(psegm!B:B,MATCH(RIGHT(contract!A21,5),psegm!A:A,0))&amp;" - "&amp;IF(MID(A21,2,2)="CA","Cash Advance",IF(MID(A21,2,2)="OC","OCT",IF(MID(A21,2,2)="PC","PWCB",IF(MID(A21,2,2)="RF","Refund"))))</f>
        <v>Debit MasterCard Com Int - Cash Advance</v>
      </c>
      <c r="L21">
        <v>748</v>
      </c>
      <c r="M21">
        <v>318</v>
      </c>
      <c r="N21" t="str">
        <f t="shared" si="0"/>
        <v>INSERT INTO [dbo].[Contracts] ([Id], [ChargeCodes], [PPI], [PPC], [MerchanID], [Descriptions]) VALUES (748, 'ACAMCD10', '1', '0.01567', 'Auchan', 'Debit MasterCard Com Int - Cash Advance')</v>
      </c>
      <c r="O21" t="str">
        <f t="shared" si="1"/>
        <v>INSERT INTO [dbo].[Contracts] ([Id], [M1ChargeCodes], [M1PPI], [M1PPC], [M1MerchanID]) VALUES (318, 'ACAMCD10', '1', '0.01567', 'MERCH00002')</v>
      </c>
    </row>
    <row r="22" spans="1:15" hidden="1" x14ac:dyDescent="0.3">
      <c r="A22" s="38" t="s">
        <v>676</v>
      </c>
      <c r="B22" s="38">
        <v>1</v>
      </c>
      <c r="C22" s="41">
        <v>1.567E-2</v>
      </c>
      <c r="D22" s="38" t="s">
        <v>765</v>
      </c>
      <c r="E22" s="37"/>
      <c r="F22" s="38" t="s">
        <v>676</v>
      </c>
      <c r="G22" s="38">
        <v>1</v>
      </c>
      <c r="H22" s="41">
        <v>1.567E-2</v>
      </c>
      <c r="I22" t="s">
        <v>762</v>
      </c>
      <c r="J22" s="38" t="s">
        <v>897</v>
      </c>
      <c r="K22" t="str">
        <f>INDEX(psegm!B:B,MATCH(RIGHT(contract!A22,4),psegm!A:A,0))&amp;" - "&amp;IF(MID(A22,2,2)="CA","Cash Advance",IF(MID(A22,2,2)="OC","OCT",IF(MID(A22,2,2)="PC","PWCB",IF(MID(A22,2,2)="RF","Refund"))))</f>
        <v>Visa Elec Credit Personal - Cash Advance</v>
      </c>
      <c r="L22">
        <v>749</v>
      </c>
      <c r="M22">
        <v>319</v>
      </c>
      <c r="N22" t="str">
        <f t="shared" si="0"/>
        <v>INSERT INTO [dbo].[Contracts] ([Id], [ChargeCodes], [PPI], [PPC], [MerchanID], [Descriptions]) VALUES (749, 'ACAVIC1', '1', '0.01567', 'Auchan', 'Visa Elec Credit Personal - Cash Advance')</v>
      </c>
      <c r="O22" t="str">
        <f t="shared" si="1"/>
        <v>INSERT INTO [dbo].[Contracts] ([Id], [M1ChargeCodes], [M1PPI], [M1PPC], [M1MerchanID]) VALUES (319, 'ACAVIC1', '1', '0.01567', 'MERCH00002')</v>
      </c>
    </row>
    <row r="23" spans="1:15" hidden="1" x14ac:dyDescent="0.3">
      <c r="A23" s="38" t="s">
        <v>613</v>
      </c>
      <c r="B23" s="38">
        <v>1</v>
      </c>
      <c r="C23" s="41">
        <v>1.567E-2</v>
      </c>
      <c r="D23" s="38" t="s">
        <v>765</v>
      </c>
      <c r="E23" s="37"/>
      <c r="F23" s="38" t="s">
        <v>613</v>
      </c>
      <c r="G23" s="38">
        <v>1</v>
      </c>
      <c r="H23" s="41">
        <v>1.567E-2</v>
      </c>
      <c r="I23" t="s">
        <v>762</v>
      </c>
      <c r="J23" s="38" t="s">
        <v>898</v>
      </c>
      <c r="K23" t="str">
        <f>INDEX(psegm!B:B,MATCH(RIGHT(contract!A23,4),psegm!A:A,0))&amp;" - "&amp;IF(MID(A23,2,2)="CA","Cash Advance",IF(MID(A23,2,2)="OC","OCT",IF(MID(A23,2,2)="PC","PWCB",IF(MID(A23,2,2)="RF","Refund"))))</f>
        <v>Visa Credit Personal - Cash Advance</v>
      </c>
      <c r="L23">
        <v>750</v>
      </c>
      <c r="M23">
        <v>320</v>
      </c>
      <c r="N23" t="str">
        <f t="shared" si="0"/>
        <v>INSERT INTO [dbo].[Contracts] ([Id], [ChargeCodes], [PPI], [PPC], [MerchanID], [Descriptions]) VALUES (750, 'ACAVIC2', '1', '0.01567', 'Auchan', 'Visa Credit Personal - Cash Advance')</v>
      </c>
      <c r="O23" t="str">
        <f t="shared" si="1"/>
        <v>INSERT INTO [dbo].[Contracts] ([Id], [M1ChargeCodes], [M1PPI], [M1PPC], [M1MerchanID]) VALUES (320, 'ACAVIC2', '1', '0.01567', 'MERCH00002')</v>
      </c>
    </row>
    <row r="24" spans="1:15" x14ac:dyDescent="0.3">
      <c r="A24" s="38" t="s">
        <v>614</v>
      </c>
      <c r="B24" s="38">
        <v>1</v>
      </c>
      <c r="C24" s="41">
        <v>1.567E-2</v>
      </c>
      <c r="D24" s="38" t="s">
        <v>765</v>
      </c>
      <c r="E24" s="37"/>
      <c r="F24" s="38" t="s">
        <v>614</v>
      </c>
      <c r="G24" s="38">
        <v>1</v>
      </c>
      <c r="H24" s="41">
        <v>1.567E-2</v>
      </c>
      <c r="I24" t="s">
        <v>762</v>
      </c>
      <c r="J24" s="38" t="s">
        <v>899</v>
      </c>
      <c r="K24" t="str">
        <f>INDEX(psegm!B:B,MATCH(RIGHT(contract!A24,4),psegm!A:A,0))&amp;" - "&amp;IF(MID(A24,2,2)="CA","Cash Advance",IF(MID(A24,2,2)="OC","OCT",IF(MID(A24,2,2)="PC","PWCB",IF(MID(A24,2,2)="RF","Refund"))))</f>
        <v>Visa Business - Cash Advance</v>
      </c>
      <c r="L24">
        <v>751</v>
      </c>
      <c r="M24">
        <v>321</v>
      </c>
      <c r="N24" t="str">
        <f t="shared" si="0"/>
        <v>INSERT INTO [dbo].[Contracts] ([Id], [ChargeCodes], [PPI], [PPC], [MerchanID], [Descriptions]) VALUES (751, 'ACAVIC3', '1', '0.01567', 'Auchan', 'Visa Business - Cash Advance')</v>
      </c>
      <c r="O24" t="str">
        <f t="shared" si="1"/>
        <v>INSERT INTO [dbo].[Contracts] ([Id], [M1ChargeCodes], [M1PPI], [M1PPC], [M1MerchanID]) VALUES (321, 'ACAVIC3', '1', '0.01567', 'MERCH00002')</v>
      </c>
    </row>
    <row r="25" spans="1:15" hidden="1" x14ac:dyDescent="0.3">
      <c r="A25" s="38" t="s">
        <v>163</v>
      </c>
      <c r="B25" s="38">
        <v>1</v>
      </c>
      <c r="C25" s="41">
        <v>1.567E-2</v>
      </c>
      <c r="D25" s="38" t="s">
        <v>765</v>
      </c>
      <c r="E25" s="37"/>
      <c r="F25" s="38" t="s">
        <v>163</v>
      </c>
      <c r="G25" s="38">
        <v>1</v>
      </c>
      <c r="H25" s="41">
        <v>1.567E-2</v>
      </c>
      <c r="I25" t="s">
        <v>762</v>
      </c>
      <c r="J25" s="38" t="s">
        <v>900</v>
      </c>
      <c r="K25" t="str">
        <f>INDEX(psegm!B:B,MATCH(RIGHT(contract!A25,4),psegm!A:A,0))&amp;" - "&amp;IF(MID(A25,2,2)="CA","Cash Advance",IF(MID(A25,2,2)="OC","OCT",IF(MID(A25,2,2)="PC","PWCB",IF(MID(A25,2,2)="RF","Refund"))))</f>
        <v>Visa Commerce - Cash Advance</v>
      </c>
      <c r="L25">
        <v>752</v>
      </c>
      <c r="M25">
        <v>322</v>
      </c>
      <c r="N25" t="str">
        <f t="shared" si="0"/>
        <v>INSERT INTO [dbo].[Contracts] ([Id], [ChargeCodes], [PPI], [PPC], [MerchanID], [Descriptions]) VALUES (752, 'ACAVIC4', '1', '0.01567', 'Auchan', 'Visa Commerce - Cash Advance')</v>
      </c>
      <c r="O25" t="str">
        <f t="shared" si="1"/>
        <v>INSERT INTO [dbo].[Contracts] ([Id], [M1ChargeCodes], [M1PPI], [M1PPC], [M1MerchanID]) VALUES (322, 'ACAVIC4', '1', '0.01567', 'MERCH00002')</v>
      </c>
    </row>
    <row r="26" spans="1:15" hidden="1" x14ac:dyDescent="0.3">
      <c r="A26" s="38" t="s">
        <v>615</v>
      </c>
      <c r="B26" s="38">
        <v>1</v>
      </c>
      <c r="C26" s="41">
        <v>1.567E-2</v>
      </c>
      <c r="D26" s="38" t="s">
        <v>765</v>
      </c>
      <c r="E26" s="37"/>
      <c r="F26" s="38" t="s">
        <v>615</v>
      </c>
      <c r="G26" s="38">
        <v>1</v>
      </c>
      <c r="H26" s="41">
        <v>1.567E-2</v>
      </c>
      <c r="I26" t="s">
        <v>762</v>
      </c>
      <c r="J26" s="38" t="s">
        <v>901</v>
      </c>
      <c r="K26" t="str">
        <f>INDEX(psegm!B:B,MATCH(RIGHT(contract!A26,4),psegm!A:A,0))&amp;" - "&amp;IF(MID(A26,2,2)="CA","Cash Advance",IF(MID(A26,2,2)="OC","OCT",IF(MID(A26,2,2)="PC","PWCB",IF(MID(A26,2,2)="RF","Refund"))))</f>
        <v>Visa Corporate - Cash Advance</v>
      </c>
      <c r="L26">
        <v>753</v>
      </c>
      <c r="M26">
        <v>323</v>
      </c>
      <c r="N26" t="str">
        <f t="shared" si="0"/>
        <v>INSERT INTO [dbo].[Contracts] ([Id], [ChargeCodes], [PPI], [PPC], [MerchanID], [Descriptions]) VALUES (753, 'ACAVIC5', '1', '0.01567', 'Auchan', 'Visa Corporate - Cash Advance')</v>
      </c>
      <c r="O26" t="str">
        <f t="shared" si="1"/>
        <v>INSERT INTO [dbo].[Contracts] ([Id], [M1ChargeCodes], [M1PPI], [M1PPC], [M1MerchanID]) VALUES (323, 'ACAVIC5', '1', '0.01567', 'MERCH00002')</v>
      </c>
    </row>
    <row r="27" spans="1:15" hidden="1" x14ac:dyDescent="0.3">
      <c r="A27" s="38" t="s">
        <v>616</v>
      </c>
      <c r="B27" s="38">
        <v>1</v>
      </c>
      <c r="C27" s="41">
        <v>1.567E-2</v>
      </c>
      <c r="D27" s="38" t="s">
        <v>765</v>
      </c>
      <c r="E27" s="37"/>
      <c r="F27" s="38" t="s">
        <v>616</v>
      </c>
      <c r="G27" s="38">
        <v>1</v>
      </c>
      <c r="H27" s="41">
        <v>1.567E-2</v>
      </c>
      <c r="I27" t="s">
        <v>762</v>
      </c>
      <c r="J27" s="38" t="s">
        <v>902</v>
      </c>
      <c r="K27" t="str">
        <f>INDEX(psegm!B:B,MATCH(RIGHT(contract!A27,4),psegm!A:A,0))&amp;" - "&amp;IF(MID(A27,2,2)="CA","Cash Advance",IF(MID(A27,2,2)="OC","OCT",IF(MID(A27,2,2)="PC","PWCB",IF(MID(A27,2,2)="RF","Refund"))))</f>
        <v>Visa Purchasing - Cash Advance</v>
      </c>
      <c r="L27">
        <v>754</v>
      </c>
      <c r="M27">
        <v>324</v>
      </c>
      <c r="N27" t="str">
        <f t="shared" si="0"/>
        <v>INSERT INTO [dbo].[Contracts] ([Id], [ChargeCodes], [PPI], [PPC], [MerchanID], [Descriptions]) VALUES (754, 'ACAVIC6', '1', '0.01567', 'Auchan', 'Visa Purchasing - Cash Advance')</v>
      </c>
      <c r="O27" t="str">
        <f t="shared" si="1"/>
        <v>INSERT INTO [dbo].[Contracts] ([Id], [M1ChargeCodes], [M1PPI], [M1PPC], [M1MerchanID]) VALUES (324, 'ACAVIC6', '1', '0.01567', 'MERCH00002')</v>
      </c>
    </row>
    <row r="28" spans="1:15" hidden="1" x14ac:dyDescent="0.3">
      <c r="A28" s="38" t="s">
        <v>677</v>
      </c>
      <c r="B28" s="38">
        <v>1</v>
      </c>
      <c r="C28" s="41">
        <v>1.567E-2</v>
      </c>
      <c r="D28" s="38" t="s">
        <v>765</v>
      </c>
      <c r="E28" s="37"/>
      <c r="F28" s="38" t="s">
        <v>677</v>
      </c>
      <c r="G28" s="38">
        <v>1</v>
      </c>
      <c r="H28" s="41">
        <v>1.567E-2</v>
      </c>
      <c r="I28" t="s">
        <v>762</v>
      </c>
      <c r="J28" s="38" t="s">
        <v>903</v>
      </c>
      <c r="K28" t="str">
        <f>INDEX(psegm!B:B,MATCH(RIGHT(contract!A28,4),psegm!A:A,0))&amp;" - "&amp;IF(MID(A28,2,2)="CA","Cash Advance",IF(MID(A28,2,2)="OC","OCT",IF(MID(A28,2,2)="PC","PWCB",IF(MID(A28,2,2)="RF","Refund"))))</f>
        <v>Visa Electron Credit - Cash Advance</v>
      </c>
      <c r="L28">
        <v>755</v>
      </c>
      <c r="M28">
        <v>325</v>
      </c>
      <c r="N28" t="str">
        <f t="shared" si="0"/>
        <v>INSERT INTO [dbo].[Contracts] ([Id], [ChargeCodes], [PPI], [PPC], [MerchanID], [Descriptions]) VALUES (755, 'ACAVIC7', '1', '0.01567', 'Auchan', 'Visa Electron Credit - Cash Advance')</v>
      </c>
      <c r="O28" t="str">
        <f t="shared" si="1"/>
        <v>INSERT INTO [dbo].[Contracts] ([Id], [M1ChargeCodes], [M1PPI], [M1PPC], [M1MerchanID]) VALUES (325, 'ACAVIC7', '1', '0.01567', 'MERCH00002')</v>
      </c>
    </row>
    <row r="29" spans="1:15" hidden="1" x14ac:dyDescent="0.3">
      <c r="A29" s="38" t="s">
        <v>618</v>
      </c>
      <c r="B29" s="38">
        <v>1</v>
      </c>
      <c r="C29" s="41">
        <v>1.567E-2</v>
      </c>
      <c r="D29" s="38" t="s">
        <v>765</v>
      </c>
      <c r="E29" s="37"/>
      <c r="F29" s="38" t="s">
        <v>618</v>
      </c>
      <c r="G29" s="38">
        <v>1</v>
      </c>
      <c r="H29" s="41">
        <v>1.567E-2</v>
      </c>
      <c r="I29" t="s">
        <v>762</v>
      </c>
      <c r="J29" s="38" t="s">
        <v>904</v>
      </c>
      <c r="K29" t="str">
        <f>INDEX(psegm!B:B,MATCH(RIGHT(contract!A29,4),psegm!A:A,0))&amp;" - "&amp;IF(MID(A29,2,2)="CA","Cash Advance",IF(MID(A29,2,2)="OC","OCT",IF(MID(A29,2,2)="PC","PWCB",IF(MID(A29,2,2)="RF","Refund"))))</f>
        <v>Visa Debit Per - Cash Advance</v>
      </c>
      <c r="L29">
        <v>756</v>
      </c>
      <c r="M29">
        <v>326</v>
      </c>
      <c r="N29" t="str">
        <f t="shared" si="0"/>
        <v>INSERT INTO [dbo].[Contracts] ([Id], [ChargeCodes], [PPI], [PPC], [MerchanID], [Descriptions]) VALUES (756, 'ACAVID1', '1', '0.01567', 'Auchan', 'Visa Debit Per - Cash Advance')</v>
      </c>
      <c r="O29" t="str">
        <f t="shared" si="1"/>
        <v>INSERT INTO [dbo].[Contracts] ([Id], [M1ChargeCodes], [M1PPI], [M1PPC], [M1MerchanID]) VALUES (326, 'ACAVID1', '1', '0.01567', 'MERCH00002')</v>
      </c>
    </row>
    <row r="30" spans="1:15" hidden="1" x14ac:dyDescent="0.3">
      <c r="A30" s="38" t="s">
        <v>678</v>
      </c>
      <c r="B30" s="38">
        <v>1</v>
      </c>
      <c r="C30" s="41">
        <v>1.567E-2</v>
      </c>
      <c r="D30" s="38" t="s">
        <v>765</v>
      </c>
      <c r="E30" s="37"/>
      <c r="F30" s="38" t="s">
        <v>678</v>
      </c>
      <c r="G30" s="38">
        <v>1</v>
      </c>
      <c r="H30" s="41">
        <v>1.567E-2</v>
      </c>
      <c r="I30" t="s">
        <v>762</v>
      </c>
      <c r="J30" s="38" t="s">
        <v>905</v>
      </c>
      <c r="K30" t="str">
        <f>INDEX(psegm!B:B,MATCH(RIGHT(contract!A30,4),psegm!A:A,0))&amp;" - "&amp;IF(MID(A30,2,2)="CA","Cash Advance",IF(MID(A30,2,2)="OC","OCT",IF(MID(A30,2,2)="PC","PWCB",IF(MID(A30,2,2)="RF","Refund"))))</f>
        <v>Visa Dr Per Int - Cash Advance</v>
      </c>
      <c r="L30">
        <v>757</v>
      </c>
      <c r="M30">
        <v>327</v>
      </c>
      <c r="N30" t="str">
        <f t="shared" si="0"/>
        <v>INSERT INTO [dbo].[Contracts] ([Id], [ChargeCodes], [PPI], [PPC], [MerchanID], [Descriptions]) VALUES (757, 'ACAVID2', '1', '0.01567', 'Auchan', 'Visa Dr Per Int - Cash Advance')</v>
      </c>
      <c r="O30" t="str">
        <f t="shared" si="1"/>
        <v>INSERT INTO [dbo].[Contracts] ([Id], [M1ChargeCodes], [M1PPI], [M1PPC], [M1MerchanID]) VALUES (327, 'ACAVID2', '1', '0.01567', 'MERCH00002')</v>
      </c>
    </row>
    <row r="31" spans="1:15" hidden="1" x14ac:dyDescent="0.3">
      <c r="A31" s="38" t="s">
        <v>679</v>
      </c>
      <c r="B31" s="38">
        <v>1</v>
      </c>
      <c r="C31" s="41">
        <v>1.567E-2</v>
      </c>
      <c r="D31" s="38" t="s">
        <v>765</v>
      </c>
      <c r="E31" s="37"/>
      <c r="F31" s="38" t="s">
        <v>679</v>
      </c>
      <c r="G31" s="38">
        <v>1</v>
      </c>
      <c r="H31" s="41">
        <v>1.567E-2</v>
      </c>
      <c r="I31" t="s">
        <v>762</v>
      </c>
      <c r="J31" s="38" t="s">
        <v>906</v>
      </c>
      <c r="K31" t="str">
        <f>INDEX(psegm!B:B,MATCH(RIGHT(contract!A31,4),psegm!A:A,0))&amp;" - "&amp;IF(MID(A31,2,2)="CA","Cash Advance",IF(MID(A31,2,2)="OC","OCT",IF(MID(A31,2,2)="PC","PWCB",IF(MID(A31,2,2)="RF","Refund"))))</f>
        <v>Visa Debit Com - Cash Advance</v>
      </c>
      <c r="L31">
        <v>758</v>
      </c>
      <c r="M31">
        <v>328</v>
      </c>
      <c r="N31" t="str">
        <f t="shared" si="0"/>
        <v>INSERT INTO [dbo].[Contracts] ([Id], [ChargeCodes], [PPI], [PPC], [MerchanID], [Descriptions]) VALUES (758, 'ACAVID3', '1', '0.01567', 'Auchan', 'Visa Debit Com - Cash Advance')</v>
      </c>
      <c r="O31" t="str">
        <f t="shared" si="1"/>
        <v>INSERT INTO [dbo].[Contracts] ([Id], [M1ChargeCodes], [M1PPI], [M1PPC], [M1MerchanID]) VALUES (328, 'ACAVID3', '1', '0.01567', 'MERCH00002')</v>
      </c>
    </row>
    <row r="32" spans="1:15" hidden="1" x14ac:dyDescent="0.3">
      <c r="A32" s="38" t="s">
        <v>617</v>
      </c>
      <c r="B32" s="38">
        <v>1</v>
      </c>
      <c r="C32" s="41">
        <v>1.567E-2</v>
      </c>
      <c r="D32" s="38" t="s">
        <v>765</v>
      </c>
      <c r="E32" s="37"/>
      <c r="F32" s="38" t="s">
        <v>617</v>
      </c>
      <c r="G32" s="38">
        <v>1</v>
      </c>
      <c r="H32" s="41">
        <v>1.567E-2</v>
      </c>
      <c r="I32" t="s">
        <v>762</v>
      </c>
      <c r="J32" s="38" t="s">
        <v>907</v>
      </c>
      <c r="K32" t="str">
        <f>INDEX(psegm!B:B,MATCH(RIGHT(contract!A32,4),psegm!A:A,0))&amp;" - "&amp;IF(MID(A32,2,2)="CA","Cash Advance",IF(MID(A32,2,2)="OC","OCT",IF(MID(A32,2,2)="PC","PWCB",IF(MID(A32,2,2)="RF","Refund"))))</f>
        <v>Visa Dr Com Intl - Cash Advance</v>
      </c>
      <c r="L32">
        <v>759</v>
      </c>
      <c r="M32">
        <v>329</v>
      </c>
      <c r="N32" t="str">
        <f t="shared" si="0"/>
        <v>INSERT INTO [dbo].[Contracts] ([Id], [ChargeCodes], [PPI], [PPC], [MerchanID], [Descriptions]) VALUES (759, 'ACAVID4', '1', '0.01567', 'Auchan', 'Visa Dr Com Intl - Cash Advance')</v>
      </c>
      <c r="O32" t="str">
        <f t="shared" si="1"/>
        <v>INSERT INTO [dbo].[Contracts] ([Id], [M1ChargeCodes], [M1PPI], [M1PPC], [M1MerchanID]) VALUES (329, 'ACAVID4', '1', '0.01567', 'MERCH00002')</v>
      </c>
    </row>
    <row r="33" spans="1:15" hidden="1" x14ac:dyDescent="0.3">
      <c r="A33" s="38" t="s">
        <v>621</v>
      </c>
      <c r="B33" s="38">
        <v>1</v>
      </c>
      <c r="C33" s="41">
        <v>1.567E-2</v>
      </c>
      <c r="D33" s="38" t="s">
        <v>765</v>
      </c>
      <c r="E33" s="37"/>
      <c r="F33" s="38" t="s">
        <v>621</v>
      </c>
      <c r="G33" s="38">
        <v>1</v>
      </c>
      <c r="H33" s="41">
        <v>1.567E-2</v>
      </c>
      <c r="I33" t="s">
        <v>762</v>
      </c>
      <c r="J33" s="38" t="s">
        <v>908</v>
      </c>
      <c r="K33" t="str">
        <f>INDEX(psegm!B:B,MATCH(RIGHT(contract!A33,4),psegm!A:A,0))&amp;" - "&amp;IF(MID(A33,2,2)="CA","Cash Advance",IF(MID(A33,2,2)="OC","OCT",IF(MID(A33,2,2)="PC","PWCB",IF(MID(A33,2,2)="RF","Refund"))))</f>
        <v>Visa Electron - Cash Advance</v>
      </c>
      <c r="L33">
        <v>760</v>
      </c>
      <c r="M33">
        <v>330</v>
      </c>
      <c r="N33" t="str">
        <f t="shared" si="0"/>
        <v>INSERT INTO [dbo].[Contracts] ([Id], [ChargeCodes], [PPI], [PPC], [MerchanID], [Descriptions]) VALUES (760, 'ACAVID5', '1', '0.01567', 'Auchan', 'Visa Electron - Cash Advance')</v>
      </c>
      <c r="O33" t="str">
        <f t="shared" si="1"/>
        <v>INSERT INTO [dbo].[Contracts] ([Id], [M1ChargeCodes], [M1PPI], [M1PPC], [M1MerchanID]) VALUES (330, 'ACAVID5', '1', '0.01567', 'MERCH00002')</v>
      </c>
    </row>
    <row r="34" spans="1:15" hidden="1" x14ac:dyDescent="0.3">
      <c r="A34" s="38" t="s">
        <v>680</v>
      </c>
      <c r="B34" s="38">
        <v>1</v>
      </c>
      <c r="C34" s="41">
        <v>1.567E-2</v>
      </c>
      <c r="D34" s="38" t="s">
        <v>765</v>
      </c>
      <c r="E34" s="37"/>
      <c r="F34" s="38" t="s">
        <v>680</v>
      </c>
      <c r="G34" s="38">
        <v>1</v>
      </c>
      <c r="H34" s="41">
        <v>1.567E-2</v>
      </c>
      <c r="I34" t="s">
        <v>762</v>
      </c>
      <c r="J34" s="38" t="s">
        <v>909</v>
      </c>
      <c r="K34" t="str">
        <f>INDEX(psegm!B:B,MATCH(RIGHT(contract!A34,4),psegm!A:A,0))&amp;" - "&amp;IF(MID(A34,2,2)="CA","Cash Advance",IF(MID(A34,2,2)="OC","OCT",IF(MID(A34,2,2)="PC","PWCB",IF(MID(A34,2,2)="RF","Refund"))))</f>
        <v>Visa Elec Per Int - Cash Advance</v>
      </c>
      <c r="L34">
        <v>761</v>
      </c>
      <c r="M34">
        <v>331</v>
      </c>
      <c r="N34" t="str">
        <f t="shared" si="0"/>
        <v>INSERT INTO [dbo].[Contracts] ([Id], [ChargeCodes], [PPI], [PPC], [MerchanID], [Descriptions]) VALUES (761, 'ACAVID6', '1', '0.01567', 'Auchan', 'Visa Elec Per Int - Cash Advance')</v>
      </c>
      <c r="O34" t="str">
        <f t="shared" si="1"/>
        <v>INSERT INTO [dbo].[Contracts] ([Id], [M1ChargeCodes], [M1PPI], [M1PPC], [M1MerchanID]) VALUES (331, 'ACAVID6', '1', '0.01567', 'MERCH00002')</v>
      </c>
    </row>
    <row r="35" spans="1:15" hidden="1" x14ac:dyDescent="0.3">
      <c r="A35" s="38" t="s">
        <v>681</v>
      </c>
      <c r="B35" s="38">
        <v>1</v>
      </c>
      <c r="C35" s="41">
        <v>1.567E-2</v>
      </c>
      <c r="D35" s="38" t="s">
        <v>765</v>
      </c>
      <c r="E35" s="37"/>
      <c r="F35" s="38" t="s">
        <v>681</v>
      </c>
      <c r="G35" s="38">
        <v>1</v>
      </c>
      <c r="H35" s="41">
        <v>1.567E-2</v>
      </c>
      <c r="I35" t="s">
        <v>762</v>
      </c>
      <c r="J35" s="38" t="s">
        <v>910</v>
      </c>
      <c r="K35" t="str">
        <f>INDEX(psegm!B:B,MATCH(RIGHT(contract!A35,4),psegm!A:A,0))&amp;" - "&amp;IF(MID(A35,2,2)="CA","Cash Advance",IF(MID(A35,2,2)="OC","OCT",IF(MID(A35,2,2)="PC","PWCB",IF(MID(A35,2,2)="RF","Refund"))))</f>
        <v>All Star - Cash Advance</v>
      </c>
      <c r="L35">
        <v>762</v>
      </c>
      <c r="M35">
        <v>332</v>
      </c>
      <c r="N35" t="str">
        <f t="shared" si="0"/>
        <v>INSERT INTO [dbo].[Contracts] ([Id], [ChargeCodes], [PPI], [PPC], [MerchanID], [Descriptions]) VALUES (762, 'ACAALLS', '1', '0.01567', 'Auchan', 'All Star - Cash Advance')</v>
      </c>
      <c r="O35" t="str">
        <f t="shared" si="1"/>
        <v>INSERT INTO [dbo].[Contracts] ([Id], [M1ChargeCodes], [M1PPI], [M1PPC], [M1MerchanID]) VALUES (332, 'ACAALLS', '1', '0.01567', 'MERCH00002')</v>
      </c>
    </row>
    <row r="36" spans="1:15" hidden="1" x14ac:dyDescent="0.3">
      <c r="A36" s="38" t="s">
        <v>682</v>
      </c>
      <c r="B36" s="38">
        <v>1</v>
      </c>
      <c r="C36" s="41">
        <v>1.567E-2</v>
      </c>
      <c r="D36" s="38" t="s">
        <v>765</v>
      </c>
      <c r="E36" s="37"/>
      <c r="F36" s="38" t="s">
        <v>682</v>
      </c>
      <c r="G36" s="38">
        <v>1</v>
      </c>
      <c r="H36" s="41">
        <v>1.567E-2</v>
      </c>
      <c r="I36" t="s">
        <v>762</v>
      </c>
      <c r="J36" s="38" t="s">
        <v>911</v>
      </c>
      <c r="K36" t="str">
        <f>INDEX(psegm!B:B,MATCH(RIGHT(contract!A36,2),psegm!A:A,0))&amp;" - "&amp;IF(MID(A36,2,2)="CA","Cash Advance",IF(MID(A36,2,2)="OC","OCT",IF(MID(A36,2,2)="PC","PWCB",IF(MID(A36,2,2)="RF","Refund"))))</f>
        <v>Diners Discover - Cash Advance</v>
      </c>
      <c r="L36">
        <v>763</v>
      </c>
      <c r="M36">
        <v>333</v>
      </c>
      <c r="N36" t="str">
        <f t="shared" si="0"/>
        <v>INSERT INTO [dbo].[Contracts] ([Id], [ChargeCodes], [PPI], [PPC], [MerchanID], [Descriptions]) VALUES (763, 'ACADD', '1', '0.01567', 'Auchan', 'Diners Discover - Cash Advance')</v>
      </c>
      <c r="O36" t="str">
        <f t="shared" si="1"/>
        <v>INSERT INTO [dbo].[Contracts] ([Id], [M1ChargeCodes], [M1PPI], [M1PPC], [M1MerchanID]) VALUES (333, 'ACADD', '1', '0.01567', 'MERCH00002')</v>
      </c>
    </row>
    <row r="37" spans="1:15" hidden="1" x14ac:dyDescent="0.3">
      <c r="A37" s="38" t="s">
        <v>683</v>
      </c>
      <c r="B37" s="38">
        <v>1</v>
      </c>
      <c r="C37" s="41">
        <v>1.567E-2</v>
      </c>
      <c r="D37" s="38" t="s">
        <v>765</v>
      </c>
      <c r="E37" s="37"/>
      <c r="F37" s="38" t="s">
        <v>683</v>
      </c>
      <c r="G37" s="38">
        <v>1</v>
      </c>
      <c r="H37" s="41">
        <v>1.567E-2</v>
      </c>
      <c r="I37" t="s">
        <v>762</v>
      </c>
      <c r="J37" s="38" t="s">
        <v>912</v>
      </c>
      <c r="K37" t="str">
        <f>INDEX(psegm!B:B,MATCH(RIGHT(contract!A37,2),psegm!A:A,0))&amp;" - "&amp;IF(MID(A37,2,2)="CA","Cash Advance",IF(MID(A37,2,2)="OC","OCT",IF(MID(A37,2,2)="PC","PWCB",IF(MID(A37,2,2)="RF","Refund"))))</f>
        <v>Diners International - Cash Advance</v>
      </c>
      <c r="L37">
        <v>764</v>
      </c>
      <c r="M37">
        <v>334</v>
      </c>
      <c r="N37" t="str">
        <f t="shared" si="0"/>
        <v>INSERT INTO [dbo].[Contracts] ([Id], [ChargeCodes], [PPI], [PPC], [MerchanID], [Descriptions]) VALUES (764, 'ACADI', '1', '0.01567', 'Auchan', 'Diners International - Cash Advance')</v>
      </c>
      <c r="O37" t="str">
        <f t="shared" si="1"/>
        <v>INSERT INTO [dbo].[Contracts] ([Id], [M1ChargeCodes], [M1PPI], [M1PPC], [M1MerchanID]) VALUES (334, 'ACADI', '1', '0.01567', 'MERCH00002')</v>
      </c>
    </row>
    <row r="38" spans="1:15" hidden="1" x14ac:dyDescent="0.3">
      <c r="A38" s="38" t="s">
        <v>684</v>
      </c>
      <c r="B38" s="38">
        <v>1</v>
      </c>
      <c r="C38" s="41">
        <v>1.567E-2</v>
      </c>
      <c r="D38" s="38" t="s">
        <v>765</v>
      </c>
      <c r="E38" s="37"/>
      <c r="F38" s="38" t="s">
        <v>684</v>
      </c>
      <c r="G38" s="38">
        <v>1</v>
      </c>
      <c r="H38" s="41">
        <v>1.567E-2</v>
      </c>
      <c r="I38" t="s">
        <v>762</v>
      </c>
      <c r="J38" s="38" t="s">
        <v>913</v>
      </c>
      <c r="K38" t="str">
        <f>INDEX(psegm!B:B,MATCH(RIGHT(contract!A38,3),psegm!A:A,0))&amp;" - "&amp;IF(MID(A38,2,2)="CA","Cash Advance",IF(MID(A38,2,2)="OC","OCT",IF(MID(A38,2,2)="PC","PWCB",IF(MID(A38,2,2)="RF","Refund"))))</f>
        <v>Diners UK (Elavon) - Cash Advance</v>
      </c>
      <c r="L38">
        <v>765</v>
      </c>
      <c r="M38">
        <v>335</v>
      </c>
      <c r="N38" t="str">
        <f t="shared" si="0"/>
        <v>INSERT INTO [dbo].[Contracts] ([Id], [ChargeCodes], [PPI], [PPC], [MerchanID], [Descriptions]) VALUES (765, 'ACADUK', '1', '0.01567', 'Auchan', 'Diners UK (Elavon) - Cash Advance')</v>
      </c>
      <c r="O38" t="str">
        <f t="shared" si="1"/>
        <v>INSERT INTO [dbo].[Contracts] ([Id], [M1ChargeCodes], [M1PPI], [M1PPC], [M1MerchanID]) VALUES (335, 'ACADUK', '1', '0.01567', 'MERCH00002')</v>
      </c>
    </row>
    <row r="39" spans="1:15" hidden="1" x14ac:dyDescent="0.3">
      <c r="A39" s="38" t="s">
        <v>685</v>
      </c>
      <c r="B39" s="38">
        <v>1</v>
      </c>
      <c r="C39" s="41">
        <v>1.567E-2</v>
      </c>
      <c r="D39" s="38" t="s">
        <v>765</v>
      </c>
      <c r="E39" s="37"/>
      <c r="F39" s="38" t="s">
        <v>685</v>
      </c>
      <c r="G39" s="38">
        <v>1</v>
      </c>
      <c r="H39" s="41">
        <v>1.567E-2</v>
      </c>
      <c r="I39" t="s">
        <v>762</v>
      </c>
      <c r="J39" s="38" t="s">
        <v>914</v>
      </c>
      <c r="K39" t="str">
        <f>INDEX(psegm!B:B,MATCH(RIGHT(contract!A39,5),psegm!A:A,0))&amp;" - "&amp;IF(MID(A39,2,2)="CA","Purchase",IF(MID(A39,2,2)="OC","OCT",IF(MID(A39,2,2)="PC","PWCB",IF(MID(A39,2,2)="RF","Refund"))))</f>
        <v>LaSer - Purchase</v>
      </c>
      <c r="L39">
        <v>766</v>
      </c>
      <c r="M39">
        <v>336</v>
      </c>
      <c r="N39" t="str">
        <f t="shared" si="0"/>
        <v>INSERT INTO [dbo].[Contracts] ([Id], [ChargeCodes], [PPI], [PPC], [MerchanID], [Descriptions]) VALUES (766, 'ACALASER', '1', '0.01567', 'Auchan', 'LaSer - Purchase')</v>
      </c>
      <c r="O39" t="str">
        <f t="shared" si="1"/>
        <v>INSERT INTO [dbo].[Contracts] ([Id], [M1ChargeCodes], [M1PPI], [M1PPC], [M1MerchanID]) VALUES (336, 'ACALASER', '1', '0.01567', 'MERCH00002')</v>
      </c>
    </row>
    <row r="40" spans="1:15" hidden="1" x14ac:dyDescent="0.3">
      <c r="A40" s="38" t="s">
        <v>686</v>
      </c>
      <c r="B40" s="38">
        <v>1</v>
      </c>
      <c r="C40" s="41">
        <v>1.567E-2</v>
      </c>
      <c r="D40" s="38" t="s">
        <v>765</v>
      </c>
      <c r="E40" s="37"/>
      <c r="F40" s="38" t="s">
        <v>686</v>
      </c>
      <c r="G40" s="38">
        <v>1</v>
      </c>
      <c r="H40" s="41">
        <v>1.567E-2</v>
      </c>
      <c r="I40" t="s">
        <v>762</v>
      </c>
      <c r="J40" s="38" t="s">
        <v>915</v>
      </c>
      <c r="K40" t="str">
        <f>INDEX(psegm!B:B,MATCH(RIGHT(contract!A40,5),psegm!A:A,0))&amp;" - "&amp;IF(MID(A40,2,2)="CA","Purchase",IF(MID(A40,2,2)="OC","OCT",IF(MID(A40,2,2)="PC","PWCB",IF(MID(A40,2,2)="RF","Refund"))))</f>
        <v>JCB UK - Purchase</v>
      </c>
      <c r="L40">
        <v>767</v>
      </c>
      <c r="M40">
        <v>337</v>
      </c>
      <c r="N40" t="str">
        <f t="shared" si="0"/>
        <v>INSERT INTO [dbo].[Contracts] ([Id], [ChargeCodes], [PPI], [PPC], [MerchanID], [Descriptions]) VALUES (767, 'ACAJCBUK', '1', '0.01567', 'Auchan', 'JCB UK - Purchase')</v>
      </c>
      <c r="O40" t="str">
        <f t="shared" si="1"/>
        <v>INSERT INTO [dbo].[Contracts] ([Id], [M1ChargeCodes], [M1PPI], [M1PPC], [M1MerchanID]) VALUES (337, 'ACAJCBUK', '1', '0.01567', 'MERCH00002')</v>
      </c>
    </row>
    <row r="41" spans="1:15" hidden="1" x14ac:dyDescent="0.3">
      <c r="A41" s="38" t="s">
        <v>687</v>
      </c>
      <c r="B41" s="38">
        <v>1</v>
      </c>
      <c r="C41" s="41">
        <v>1.567E-2</v>
      </c>
      <c r="D41" s="38" t="s">
        <v>765</v>
      </c>
      <c r="E41" s="37"/>
      <c r="F41" s="38" t="s">
        <v>687</v>
      </c>
      <c r="G41" s="38">
        <v>1</v>
      </c>
      <c r="H41" s="41">
        <v>1.567E-2</v>
      </c>
      <c r="I41" t="s">
        <v>762</v>
      </c>
      <c r="J41" s="38" t="s">
        <v>916</v>
      </c>
      <c r="K41" t="str">
        <f>INDEX(psegm!B:B,MATCH(RIGHT(contract!A41,6),psegm!A:A,0))&amp;" - "&amp;IF(MID(A41,2,2)="CA","Purchase",IF(MID(A41,2,2)="OC","OCT",IF(MID(A41,2,2)="PC","PWCB",IF(MID(A41,2,2)="RF","Refund"))))</f>
        <v>JCB ROI - Purchase</v>
      </c>
      <c r="L41">
        <v>768</v>
      </c>
      <c r="M41">
        <v>338</v>
      </c>
      <c r="N41" t="str">
        <f t="shared" si="0"/>
        <v>INSERT INTO [dbo].[Contracts] ([Id], [ChargeCodes], [PPI], [PPC], [MerchanID], [Descriptions]) VALUES (768, 'ACAJCBROI', '1', '0.01567', 'Auchan', 'JCB ROI - Purchase')</v>
      </c>
      <c r="O41" t="str">
        <f t="shared" si="1"/>
        <v>INSERT INTO [dbo].[Contracts] ([Id], [M1ChargeCodes], [M1PPI], [M1PPC], [M1MerchanID]) VALUES (338, 'ACAJCBROI', '1', '0.01567', 'MERCH00002')</v>
      </c>
    </row>
    <row r="42" spans="1:15" hidden="1" x14ac:dyDescent="0.3">
      <c r="A42" s="38" t="s">
        <v>688</v>
      </c>
      <c r="B42" s="38">
        <v>1</v>
      </c>
      <c r="C42" s="41">
        <v>1.567E-2</v>
      </c>
      <c r="D42" s="38" t="s">
        <v>765</v>
      </c>
      <c r="E42" s="37"/>
      <c r="F42" s="38" t="s">
        <v>688</v>
      </c>
      <c r="G42" s="38">
        <v>1</v>
      </c>
      <c r="H42" s="41">
        <v>1.567E-2</v>
      </c>
      <c r="I42" t="s">
        <v>762</v>
      </c>
      <c r="J42" s="38" t="s">
        <v>917</v>
      </c>
      <c r="K42" t="str">
        <f>INDEX(psegm!B:B,MATCH(RIGHT(contract!A42,4),psegm!A:A,0))&amp;" - "&amp;IF(MID(A42,2,2)="CA","Purchase",IF(MID(A42,2,2)="OC","OCT",IF(MID(A42,2,2)="PC","PWCB",IF(MID(A42,2,2)="RF","Refund"))))</f>
        <v>JCB International - Purchase</v>
      </c>
      <c r="L42">
        <v>769</v>
      </c>
      <c r="M42">
        <v>339</v>
      </c>
      <c r="N42" t="str">
        <f t="shared" si="0"/>
        <v>INSERT INTO [dbo].[Contracts] ([Id], [ChargeCodes], [PPI], [PPC], [MerchanID], [Descriptions]) VALUES (769, 'ACAJCBI', '1', '0.01567', 'Auchan', 'JCB International - Purchase')</v>
      </c>
      <c r="O42" t="str">
        <f t="shared" si="1"/>
        <v>INSERT INTO [dbo].[Contracts] ([Id], [M1ChargeCodes], [M1PPI], [M1PPC], [M1MerchanID]) VALUES (339, 'ACAJCBI', '1', '0.01567', 'MERCH00002')</v>
      </c>
    </row>
    <row r="43" spans="1:15" hidden="1" x14ac:dyDescent="0.3">
      <c r="A43" s="38" t="s">
        <v>689</v>
      </c>
      <c r="B43" s="38">
        <v>1</v>
      </c>
      <c r="C43" s="41">
        <v>1.567E-2</v>
      </c>
      <c r="D43" s="38" t="s">
        <v>765</v>
      </c>
      <c r="E43" s="37"/>
      <c r="F43" s="38" t="s">
        <v>689</v>
      </c>
      <c r="G43" s="38">
        <v>1</v>
      </c>
      <c r="H43" s="41">
        <v>1.567E-2</v>
      </c>
      <c r="I43" t="s">
        <v>762</v>
      </c>
      <c r="J43" s="38" t="s">
        <v>918</v>
      </c>
      <c r="K43" t="str">
        <f>INDEX(psegm!B:B,MATCH(RIGHT(contract!A43,2),psegm!A:A,0))&amp;" - "&amp;IF(MID(A43,2,2)="CA","Cash Advance",IF(MID(A43,2,2)="OC","OCT",IF(MID(A43,2,2)="PC","PWCB",IF(MID(A43,2,2)="RF","Refund"))))</f>
        <v>Keyfuels - Cash Advance</v>
      </c>
      <c r="L43">
        <v>770</v>
      </c>
      <c r="M43">
        <v>340</v>
      </c>
      <c r="N43" t="str">
        <f t="shared" si="0"/>
        <v>INSERT INTO [dbo].[Contracts] ([Id], [ChargeCodes], [PPI], [PPC], [MerchanID], [Descriptions]) VALUES (770, 'ACAKF', '1', '0.01567', 'Auchan', 'Keyfuels - Cash Advance')</v>
      </c>
      <c r="O43" t="str">
        <f t="shared" si="1"/>
        <v>INSERT INTO [dbo].[Contracts] ([Id], [M1ChargeCodes], [M1PPI], [M1PPC], [M1MerchanID]) VALUES (340, 'ACAKF', '1', '0.01567', 'MERCH00002')</v>
      </c>
    </row>
    <row r="44" spans="1:15" hidden="1" x14ac:dyDescent="0.3">
      <c r="A44" s="38" t="s">
        <v>690</v>
      </c>
      <c r="B44" s="38">
        <v>1</v>
      </c>
      <c r="C44" s="41">
        <v>1.567E-2</v>
      </c>
      <c r="D44" s="38" t="s">
        <v>765</v>
      </c>
      <c r="E44" s="37"/>
      <c r="F44" s="38" t="s">
        <v>690</v>
      </c>
      <c r="G44" s="38">
        <v>1</v>
      </c>
      <c r="H44" s="41">
        <v>1.567E-2</v>
      </c>
      <c r="I44" t="s">
        <v>762</v>
      </c>
      <c r="J44" s="38" t="s">
        <v>881</v>
      </c>
      <c r="K44" t="str">
        <f>INDEX(psegm!B:B,MATCH(RIGHT(contract!A4,4),psegm!A:A,0))&amp;" - "&amp;IF(MID(A44,2,2)="CA","Cash Advance",IF(MID(A44,2,2)="OC","OCT",IF(MID(A44,2,2)="PC","PWCB",IF(MID(A44,2,2)="RF","Refund"))))</f>
        <v>MasterCard Business - Cash Advance</v>
      </c>
      <c r="L44">
        <v>771</v>
      </c>
      <c r="M44">
        <v>341</v>
      </c>
      <c r="N44" t="str">
        <f t="shared" si="0"/>
        <v>INSERT INTO [dbo].[Contracts] ([Id], [ChargeCodes], [PPI], [PPC], [MerchanID], [Descriptions]) VALUES (771, 'ACASTARS', '1', '0.01567', 'Auchan', 'MasterCard Business - Cash Advance')</v>
      </c>
      <c r="O44" t="str">
        <f t="shared" si="1"/>
        <v>INSERT INTO [dbo].[Contracts] ([Id], [M1ChargeCodes], [M1PPI], [M1PPC], [M1MerchanID]) VALUES (341, 'ACASTARS', '1', '0.01567', 'MERCH00002')</v>
      </c>
    </row>
    <row r="45" spans="1:15" hidden="1" x14ac:dyDescent="0.3">
      <c r="A45" s="38" t="s">
        <v>622</v>
      </c>
      <c r="B45" s="38">
        <v>2</v>
      </c>
      <c r="C45" s="41">
        <v>1.567E-2</v>
      </c>
      <c r="D45" s="38" t="s">
        <v>765</v>
      </c>
      <c r="E45" s="37"/>
      <c r="F45" s="38" t="s">
        <v>622</v>
      </c>
      <c r="G45" s="38">
        <v>2</v>
      </c>
      <c r="H45" s="41">
        <v>1.567E-2</v>
      </c>
      <c r="I45" t="s">
        <v>762</v>
      </c>
      <c r="J45" s="38" t="s">
        <v>919</v>
      </c>
      <c r="K45" t="str">
        <f>INDEX(psegm!B:B,MATCH(RIGHT(contract!A45,4),psegm!A:A,0))&amp;" - "&amp;IF(MID(A45,2,2)="CA","Cash Advance",IF(MID(A45,2,2)="OC","OCT",IF(MID(A45,2,2)="PC","PWCB",IF(MID(A45,2,2)="RF","Refund"))))</f>
        <v>MasterCard Cr Per - OCT</v>
      </c>
      <c r="L45">
        <v>772</v>
      </c>
      <c r="M45">
        <v>342</v>
      </c>
      <c r="N45" t="str">
        <f t="shared" si="0"/>
        <v>INSERT INTO [dbo].[Contracts] ([Id], [ChargeCodes], [PPI], [PPC], [MerchanID], [Descriptions]) VALUES (772, 'AOCMCC1', '2', '0.01567', 'Auchan', 'MasterCard Cr Per - OCT')</v>
      </c>
      <c r="O45" t="str">
        <f t="shared" si="1"/>
        <v>INSERT INTO [dbo].[Contracts] ([Id], [M1ChargeCodes], [M1PPI], [M1PPC], [M1MerchanID]) VALUES (342, 'AOCMCC1', '2', '0.01567', 'MERCH00002')</v>
      </c>
    </row>
    <row r="46" spans="1:15" hidden="1" x14ac:dyDescent="0.3">
      <c r="A46" s="38" t="s">
        <v>158</v>
      </c>
      <c r="B46" s="38">
        <v>2</v>
      </c>
      <c r="C46" s="41">
        <v>1.567E-2</v>
      </c>
      <c r="D46" s="38" t="s">
        <v>765</v>
      </c>
      <c r="E46" s="37"/>
      <c r="F46" s="38" t="s">
        <v>158</v>
      </c>
      <c r="G46" s="38">
        <v>2</v>
      </c>
      <c r="H46" s="41">
        <v>1.567E-2</v>
      </c>
      <c r="I46" t="s">
        <v>762</v>
      </c>
      <c r="J46" s="38" t="s">
        <v>920</v>
      </c>
      <c r="K46" t="str">
        <f>INDEX(psegm!B:B,MATCH(RIGHT(contract!A46,4),psegm!A:A,0))&amp;" - "&amp;IF(MID(A46,2,2)="CA","Cash Advance",IF(MID(A46,2,2)="OC","OCT",IF(MID(A46,2,2)="PC","PWCB",IF(MID(A46,2,2)="RF","Refund"))))</f>
        <v>MasterCard Business - OCT</v>
      </c>
      <c r="L46">
        <v>773</v>
      </c>
      <c r="M46">
        <v>343</v>
      </c>
      <c r="N46" t="str">
        <f t="shared" si="0"/>
        <v>INSERT INTO [dbo].[Contracts] ([Id], [ChargeCodes], [PPI], [PPC], [MerchanID], [Descriptions]) VALUES (773, 'AOCMCC2', '2', '0.01567', 'Auchan', 'MasterCard Business - OCT')</v>
      </c>
      <c r="O46" t="str">
        <f t="shared" si="1"/>
        <v>INSERT INTO [dbo].[Contracts] ([Id], [M1ChargeCodes], [M1PPI], [M1PPC], [M1MerchanID]) VALUES (343, 'AOCMCC2', '2', '0.01567', 'MERCH00002')</v>
      </c>
    </row>
    <row r="47" spans="1:15" hidden="1" x14ac:dyDescent="0.3">
      <c r="A47" s="38" t="s">
        <v>623</v>
      </c>
      <c r="B47" s="38">
        <v>2</v>
      </c>
      <c r="C47" s="41">
        <v>1.567E-2</v>
      </c>
      <c r="D47" s="38" t="s">
        <v>765</v>
      </c>
      <c r="E47" s="37"/>
      <c r="F47" s="38" t="s">
        <v>623</v>
      </c>
      <c r="G47" s="38">
        <v>2</v>
      </c>
      <c r="H47" s="41">
        <v>1.567E-2</v>
      </c>
      <c r="I47" t="s">
        <v>762</v>
      </c>
      <c r="J47" s="38" t="s">
        <v>921</v>
      </c>
      <c r="K47" t="str">
        <f>INDEX(psegm!B:B,MATCH(RIGHT(contract!A47,4),psegm!A:A,0))&amp;" - "&amp;IF(MID(A47,2,2)="CA","Cash Advance",IF(MID(A47,2,2)="OC","OCT",IF(MID(A47,2,2)="PC","PWCB",IF(MID(A47,2,2)="RF","Refund"))))</f>
        <v>MasterCard Fleet - OCT</v>
      </c>
      <c r="L47">
        <v>774</v>
      </c>
      <c r="M47">
        <v>344</v>
      </c>
      <c r="N47" t="str">
        <f t="shared" si="0"/>
        <v>INSERT INTO [dbo].[Contracts] ([Id], [ChargeCodes], [PPI], [PPC], [MerchanID], [Descriptions]) VALUES (774, 'AOCMCC3', '2', '0.01567', 'Auchan', 'MasterCard Fleet - OCT')</v>
      </c>
      <c r="O47" t="str">
        <f t="shared" si="1"/>
        <v>INSERT INTO [dbo].[Contracts] ([Id], [M1ChargeCodes], [M1PPI], [M1PPC], [M1MerchanID]) VALUES (344, 'AOCMCC3', '2', '0.01567', 'MERCH00002')</v>
      </c>
    </row>
    <row r="48" spans="1:15" hidden="1" x14ac:dyDescent="0.3">
      <c r="A48" s="38" t="s">
        <v>624</v>
      </c>
      <c r="B48" s="38">
        <v>2</v>
      </c>
      <c r="C48" s="41">
        <v>1.567E-2</v>
      </c>
      <c r="D48" s="38" t="s">
        <v>765</v>
      </c>
      <c r="E48" s="37"/>
      <c r="F48" s="38" t="s">
        <v>624</v>
      </c>
      <c r="G48" s="38">
        <v>2</v>
      </c>
      <c r="H48" s="41">
        <v>1.567E-2</v>
      </c>
      <c r="I48" t="s">
        <v>762</v>
      </c>
      <c r="J48" s="38" t="s">
        <v>922</v>
      </c>
      <c r="K48" t="str">
        <f>INDEX(psegm!B:B,MATCH(RIGHT(contract!A48,4),psegm!A:A,0))&amp;" - "&amp;IF(MID(A48,2,2)="CA","Cash Advance",IF(MID(A48,2,2)="OC","OCT",IF(MID(A48,2,2)="PC","PWCB",IF(MID(A48,2,2)="RF","Refund"))))</f>
        <v>MasterCard Corporate - OCT</v>
      </c>
      <c r="L48">
        <v>775</v>
      </c>
      <c r="M48">
        <v>345</v>
      </c>
      <c r="N48" t="str">
        <f t="shared" si="0"/>
        <v>INSERT INTO [dbo].[Contracts] ([Id], [ChargeCodes], [PPI], [PPC], [MerchanID], [Descriptions]) VALUES (775, 'AOCMCC4', '2', '0.01567', 'Auchan', 'MasterCard Corporate - OCT')</v>
      </c>
      <c r="O48" t="str">
        <f t="shared" si="1"/>
        <v>INSERT INTO [dbo].[Contracts] ([Id], [M1ChargeCodes], [M1PPI], [M1PPC], [M1MerchanID]) VALUES (345, 'AOCMCC4', '2', '0.01567', 'MERCH00002')</v>
      </c>
    </row>
    <row r="49" spans="1:15" hidden="1" x14ac:dyDescent="0.3">
      <c r="A49" s="38" t="s">
        <v>625</v>
      </c>
      <c r="B49" s="38">
        <v>2</v>
      </c>
      <c r="C49" s="41">
        <v>1.567E-2</v>
      </c>
      <c r="D49" s="38" t="s">
        <v>765</v>
      </c>
      <c r="E49" s="37"/>
      <c r="F49" s="38" t="s">
        <v>625</v>
      </c>
      <c r="G49" s="38">
        <v>2</v>
      </c>
      <c r="H49" s="41">
        <v>1.567E-2</v>
      </c>
      <c r="I49" t="s">
        <v>762</v>
      </c>
      <c r="J49" s="38" t="s">
        <v>923</v>
      </c>
      <c r="K49" t="str">
        <f>INDEX(psegm!B:B,MATCH(RIGHT(contract!A49,4),psegm!A:A,0))&amp;" - "&amp;IF(MID(A49,2,2)="CA","Cash Advance",IF(MID(A49,2,2)="OC","OCT",IF(MID(A49,2,2)="PC","PWCB",IF(MID(A49,2,2)="RF","Refund"))))</f>
        <v>MasterCard Purchase - OCT</v>
      </c>
      <c r="L49">
        <v>776</v>
      </c>
      <c r="M49">
        <v>346</v>
      </c>
      <c r="N49" t="str">
        <f t="shared" si="0"/>
        <v>INSERT INTO [dbo].[Contracts] ([Id], [ChargeCodes], [PPI], [PPC], [MerchanID], [Descriptions]) VALUES (776, 'AOCMCC5', '2', '0.01567', 'Auchan', 'MasterCard Purchase - OCT')</v>
      </c>
      <c r="O49" t="str">
        <f t="shared" si="1"/>
        <v>INSERT INTO [dbo].[Contracts] ([Id], [M1ChargeCodes], [M1PPI], [M1PPC], [M1MerchanID]) VALUES (346, 'AOCMCC5', '2', '0.01567', 'MERCH00002')</v>
      </c>
    </row>
    <row r="50" spans="1:15" hidden="1" x14ac:dyDescent="0.3">
      <c r="A50" s="38" t="s">
        <v>626</v>
      </c>
      <c r="B50" s="38">
        <v>2</v>
      </c>
      <c r="C50" s="41">
        <v>1.567E-2</v>
      </c>
      <c r="D50" s="38" t="s">
        <v>765</v>
      </c>
      <c r="E50" s="37"/>
      <c r="F50" s="38" t="s">
        <v>626</v>
      </c>
      <c r="G50" s="38">
        <v>2</v>
      </c>
      <c r="H50" s="41">
        <v>1.567E-2</v>
      </c>
      <c r="I50" t="s">
        <v>762</v>
      </c>
      <c r="J50" s="38" t="s">
        <v>924</v>
      </c>
      <c r="K50" t="str">
        <f>INDEX(psegm!B:B,MATCH(RIGHT(contract!A50,4),psegm!A:A,0))&amp;" - "&amp;IF(MID(A50,2,2)="CA","Cash Advance",IF(MID(A50,2,2)="OC","OCT",IF(MID(A50,2,2)="PC","PWCB",IF(MID(A50,2,2)="RF","Refund"))))</f>
        <v>MasterCard Signia - OCT</v>
      </c>
      <c r="L50">
        <v>777</v>
      </c>
      <c r="M50">
        <v>347</v>
      </c>
      <c r="N50" t="str">
        <f t="shared" si="0"/>
        <v>INSERT INTO [dbo].[Contracts] ([Id], [ChargeCodes], [PPI], [PPC], [MerchanID], [Descriptions]) VALUES (777, 'AOCMCC6', '2', '0.01567', 'Auchan', 'MasterCard Signia - OCT')</v>
      </c>
      <c r="O50" t="str">
        <f t="shared" si="1"/>
        <v>INSERT INTO [dbo].[Contracts] ([Id], [M1ChargeCodes], [M1PPI], [M1PPC], [M1MerchanID]) VALUES (347, 'AOCMCC6', '2', '0.01567', 'MERCH00002')</v>
      </c>
    </row>
    <row r="51" spans="1:15" hidden="1" x14ac:dyDescent="0.3">
      <c r="A51" s="38" t="s">
        <v>629</v>
      </c>
      <c r="B51" s="38">
        <v>2</v>
      </c>
      <c r="C51" s="41">
        <v>1.567E-2</v>
      </c>
      <c r="D51" s="38" t="s">
        <v>765</v>
      </c>
      <c r="E51" s="37"/>
      <c r="F51" s="38" t="s">
        <v>629</v>
      </c>
      <c r="G51" s="38">
        <v>2</v>
      </c>
      <c r="H51" s="41">
        <v>1.567E-2</v>
      </c>
      <c r="I51" t="s">
        <v>762</v>
      </c>
      <c r="J51" s="38" t="s">
        <v>925</v>
      </c>
      <c r="K51" t="str">
        <f>INDEX(psegm!B:B,MATCH(RIGHT(contract!A51,4),psegm!A:A,0))&amp;" - "&amp;IF(MID(A51,2,2)="CA","Cash Advance",IF(MID(A51,2,2)="OC","OCT",IF(MID(A51,2,2)="PC","PWCB",IF(MID(A51,2,2)="RF","Refund"))))</f>
        <v>MasterCard World - OCT</v>
      </c>
      <c r="L51">
        <v>778</v>
      </c>
      <c r="M51">
        <v>348</v>
      </c>
      <c r="N51" t="str">
        <f t="shared" si="0"/>
        <v>INSERT INTO [dbo].[Contracts] ([Id], [ChargeCodes], [PPI], [PPC], [MerchanID], [Descriptions]) VALUES (778, 'AOCMCC7', '2', '0.01567', 'Auchan', 'MasterCard World - OCT')</v>
      </c>
      <c r="O51" t="str">
        <f t="shared" si="1"/>
        <v>INSERT INTO [dbo].[Contracts] ([Id], [M1ChargeCodes], [M1PPI], [M1PPC], [M1MerchanID]) VALUES (348, 'AOCMCC7', '2', '0.01567', 'MERCH00002')</v>
      </c>
    </row>
    <row r="52" spans="1:15" hidden="1" x14ac:dyDescent="0.3">
      <c r="A52" s="38" t="s">
        <v>691</v>
      </c>
      <c r="B52" s="38">
        <v>2</v>
      </c>
      <c r="C52" s="41">
        <v>1.567E-2</v>
      </c>
      <c r="D52" s="38" t="s">
        <v>765</v>
      </c>
      <c r="E52" s="37"/>
      <c r="F52" s="38" t="s">
        <v>691</v>
      </c>
      <c r="G52" s="38">
        <v>2</v>
      </c>
      <c r="H52" s="41">
        <v>1.567E-2</v>
      </c>
      <c r="I52" t="s">
        <v>762</v>
      </c>
      <c r="J52" s="38" t="s">
        <v>926</v>
      </c>
      <c r="K52" t="str">
        <f>INDEX(psegm!B:B,MATCH(RIGHT(contract!A52,4),psegm!A:A,0))&amp;" - "&amp;IF(MID(A52,2,2)="CA","Cash Advance",IF(MID(A52,2,2)="OC","OCT",IF(MID(A52,2,2)="PC","PWCB",IF(MID(A52,2,2)="RF","Refund"))))</f>
        <v>MasterCard Comm - OCT</v>
      </c>
      <c r="L52">
        <v>779</v>
      </c>
      <c r="M52">
        <v>349</v>
      </c>
      <c r="N52" t="str">
        <f t="shared" si="0"/>
        <v>INSERT INTO [dbo].[Contracts] ([Id], [ChargeCodes], [PPI], [PPC], [MerchanID], [Descriptions]) VALUES (779, 'AOCMCC8', '2', '0.01567', 'Auchan', 'MasterCard Comm - OCT')</v>
      </c>
      <c r="O52" t="str">
        <f t="shared" si="1"/>
        <v>INSERT INTO [dbo].[Contracts] ([Id], [M1ChargeCodes], [M1PPI], [M1PPC], [M1MerchanID]) VALUES (349, 'AOCMCC8', '2', '0.01567', 'MERCH00002')</v>
      </c>
    </row>
    <row r="53" spans="1:15" hidden="1" x14ac:dyDescent="0.3">
      <c r="A53" s="38" t="s">
        <v>692</v>
      </c>
      <c r="B53" s="38">
        <v>2</v>
      </c>
      <c r="C53" s="41">
        <v>1.567E-2</v>
      </c>
      <c r="D53" s="38" t="s">
        <v>765</v>
      </c>
      <c r="E53" s="37"/>
      <c r="F53" s="38" t="s">
        <v>692</v>
      </c>
      <c r="G53" s="38">
        <v>2</v>
      </c>
      <c r="H53" s="41">
        <v>1.567E-2</v>
      </c>
      <c r="I53" t="s">
        <v>762</v>
      </c>
      <c r="J53" s="38" t="s">
        <v>919</v>
      </c>
      <c r="K53" t="str">
        <f>INDEX(psegm!B:B,MATCH(RIGHT(contract!A53,4),psegm!A:A,0))&amp;" - "&amp;IF(MID(A53,2,2)="CA","Cash Advance",IF(MID(A53,2,2)="OC","OCT",IF(MID(A53,2,2)="PC","PWCB",IF(MID(A53,2,2)="RF","Refund"))))</f>
        <v>MasterCard Cr Per - OCT</v>
      </c>
      <c r="L53">
        <v>780</v>
      </c>
      <c r="M53">
        <v>350</v>
      </c>
      <c r="N53" t="str">
        <f t="shared" si="0"/>
        <v>INSERT INTO [dbo].[Contracts] ([Id], [ChargeCodes], [PPI], [PPC], [MerchanID], [Descriptions]) VALUES (780, 'AOCMCC9', '2', '0.01567', 'Auchan', 'MasterCard Cr Per - OCT')</v>
      </c>
      <c r="O53" t="str">
        <f t="shared" si="1"/>
        <v>INSERT INTO [dbo].[Contracts] ([Id], [M1ChargeCodes], [M1PPI], [M1PPC], [M1MerchanID]) VALUES (350, 'AOCMCC9', '2', '0.01567', 'MERCH00002')</v>
      </c>
    </row>
    <row r="54" spans="1:15" hidden="1" x14ac:dyDescent="0.3">
      <c r="A54" s="38" t="s">
        <v>627</v>
      </c>
      <c r="B54" s="38">
        <v>2</v>
      </c>
      <c r="C54" s="41">
        <v>1.567E-2</v>
      </c>
      <c r="D54" s="38" t="s">
        <v>765</v>
      </c>
      <c r="E54" s="37"/>
      <c r="F54" s="38" t="s">
        <v>627</v>
      </c>
      <c r="G54" s="38">
        <v>2</v>
      </c>
      <c r="H54" s="41">
        <v>1.567E-2</v>
      </c>
      <c r="I54" t="s">
        <v>762</v>
      </c>
      <c r="J54" s="38" t="s">
        <v>927</v>
      </c>
      <c r="K54" t="str">
        <f>INDEX(psegm!B:B,MATCH(RIGHT(contract!A54,4),psegm!A:A,0))&amp;" - "&amp;IF(MID(A54,2,2)="CA","Cash Advance",IF(MID(A54,2,2)="OC","OCT",IF(MID(A54,2,2)="PC","PWCB",IF(MID(A54,2,2)="RF","Refund"))))</f>
        <v>MasterCardDr Com Int - OCT</v>
      </c>
      <c r="L54">
        <v>781</v>
      </c>
      <c r="M54">
        <v>351</v>
      </c>
      <c r="N54" t="str">
        <f t="shared" si="0"/>
        <v>INSERT INTO [dbo].[Contracts] ([Id], [ChargeCodes], [PPI], [PPC], [MerchanID], [Descriptions]) VALUES (781, 'AOCMCD1', '2', '0.01567', 'Auchan', 'MasterCardDr Com Int - OCT')</v>
      </c>
      <c r="O54" t="str">
        <f t="shared" si="1"/>
        <v>INSERT INTO [dbo].[Contracts] ([Id], [M1ChargeCodes], [M1PPI], [M1PPC], [M1MerchanID]) VALUES (351, 'AOCMCD1', '2', '0.01567', 'MERCH00002')</v>
      </c>
    </row>
    <row r="55" spans="1:15" hidden="1" x14ac:dyDescent="0.3">
      <c r="A55" s="38" t="s">
        <v>628</v>
      </c>
      <c r="B55" s="38">
        <v>2</v>
      </c>
      <c r="C55" s="41">
        <v>1.567E-2</v>
      </c>
      <c r="D55" s="38" t="s">
        <v>765</v>
      </c>
      <c r="E55" s="37"/>
      <c r="F55" s="38" t="s">
        <v>628</v>
      </c>
      <c r="G55" s="38">
        <v>2</v>
      </c>
      <c r="H55" s="41">
        <v>1.567E-2</v>
      </c>
      <c r="I55" t="s">
        <v>762</v>
      </c>
      <c r="J55" s="38" t="s">
        <v>928</v>
      </c>
      <c r="K55" t="str">
        <f>INDEX(psegm!B:B,MATCH(RIGHT(contract!A55,4),psegm!A:A,0))&amp;" - "&amp;IF(MID(A55,2,2)="CA","Cash Advance",IF(MID(A55,2,2)="OC","OCT",IF(MID(A55,2,2)="PC","PWCB",IF(MID(A55,2,2)="RF","Refund"))))</f>
        <v>MasterCardDr Per Int - OCT</v>
      </c>
      <c r="L55">
        <v>782</v>
      </c>
      <c r="M55">
        <v>352</v>
      </c>
      <c r="N55" t="str">
        <f t="shared" si="0"/>
        <v>INSERT INTO [dbo].[Contracts] ([Id], [ChargeCodes], [PPI], [PPC], [MerchanID], [Descriptions]) VALUES (782, 'AOCMCD2', '2', '0.01567', 'Auchan', 'MasterCardDr Per Int - OCT')</v>
      </c>
      <c r="O55" t="str">
        <f t="shared" si="1"/>
        <v>INSERT INTO [dbo].[Contracts] ([Id], [M1ChargeCodes], [M1PPI], [M1PPC], [M1MerchanID]) VALUES (352, 'AOCMCD2', '2', '0.01567', 'MERCH00002')</v>
      </c>
    </row>
    <row r="56" spans="1:15" hidden="1" x14ac:dyDescent="0.3">
      <c r="A56" s="38" t="s">
        <v>637</v>
      </c>
      <c r="B56" s="38">
        <v>2</v>
      </c>
      <c r="C56" s="41">
        <v>1.567E-2</v>
      </c>
      <c r="D56" s="38" t="s">
        <v>765</v>
      </c>
      <c r="E56" s="37"/>
      <c r="F56" s="38" t="s">
        <v>637</v>
      </c>
      <c r="G56" s="38">
        <v>2</v>
      </c>
      <c r="H56" s="41">
        <v>1.567E-2</v>
      </c>
      <c r="I56" t="s">
        <v>762</v>
      </c>
      <c r="J56" s="38" t="s">
        <v>929</v>
      </c>
      <c r="K56" t="str">
        <f>INDEX(psegm!B:B,MATCH(RIGHT(contract!A56,4),psegm!A:A,0))&amp;" - "&amp;IF(MID(A56,2,2)="CA","Cash Advance",IF(MID(A56,2,2)="OC","OCT",IF(MID(A56,2,2)="PC","PWCB",IF(MID(A56,2,2)="RF","Refund"))))</f>
        <v>Dr MasterCard EEA - OCT</v>
      </c>
      <c r="L56">
        <v>783</v>
      </c>
      <c r="M56">
        <v>353</v>
      </c>
      <c r="N56" t="str">
        <f t="shared" si="0"/>
        <v>INSERT INTO [dbo].[Contracts] ([Id], [ChargeCodes], [PPI], [PPC], [MerchanID], [Descriptions]) VALUES (783, 'AOCMCD3', '2', '0.01567', 'Auchan', 'Dr MasterCard EEA - OCT')</v>
      </c>
      <c r="O56" t="str">
        <f t="shared" si="1"/>
        <v>INSERT INTO [dbo].[Contracts] ([Id], [M1ChargeCodes], [M1PPI], [M1PPC], [M1MerchanID]) VALUES (353, 'AOCMCD3', '2', '0.01567', 'MERCH00002')</v>
      </c>
    </row>
    <row r="57" spans="1:15" hidden="1" x14ac:dyDescent="0.3">
      <c r="A57" s="38" t="s">
        <v>693</v>
      </c>
      <c r="B57" s="38">
        <v>2</v>
      </c>
      <c r="C57" s="41">
        <v>1.567E-2</v>
      </c>
      <c r="D57" s="38" t="s">
        <v>765</v>
      </c>
      <c r="E57" s="37"/>
      <c r="F57" s="38" t="s">
        <v>693</v>
      </c>
      <c r="G57" s="38">
        <v>2</v>
      </c>
      <c r="H57" s="41">
        <v>1.567E-2</v>
      </c>
      <c r="I57" t="s">
        <v>762</v>
      </c>
      <c r="J57" s="38" t="s">
        <v>930</v>
      </c>
      <c r="K57" t="str">
        <f>INDEX(psegm!B:B,MATCH(RIGHT(contract!A57,4),psegm!A:A,0))&amp;" - "&amp;IF(MID(A57,2,2)="CA","Cash Advance",IF(MID(A57,2,2)="OC","OCT",IF(MID(A57,2,2)="PC","PWCB",IF(MID(A57,2,2)="RF","Refund"))))</f>
        <v>Debit MasterCard Per Int - OCT</v>
      </c>
      <c r="L57">
        <v>784</v>
      </c>
      <c r="M57">
        <v>354</v>
      </c>
      <c r="N57" t="str">
        <f t="shared" si="0"/>
        <v>INSERT INTO [dbo].[Contracts] ([Id], [ChargeCodes], [PPI], [PPC], [MerchanID], [Descriptions]) VALUES (784, 'AOCMCD4', '2', '0.01567', 'Auchan', 'Debit MasterCard Per Int - OCT')</v>
      </c>
      <c r="O57" t="str">
        <f t="shared" si="1"/>
        <v>INSERT INTO [dbo].[Contracts] ([Id], [M1ChargeCodes], [M1PPI], [M1PPC], [M1MerchanID]) VALUES (354, 'AOCMCD4', '2', '0.01567', 'MERCH00002')</v>
      </c>
    </row>
    <row r="58" spans="1:15" hidden="1" x14ac:dyDescent="0.3">
      <c r="A58" s="38" t="s">
        <v>694</v>
      </c>
      <c r="B58" s="38">
        <v>2</v>
      </c>
      <c r="C58" s="41">
        <v>1.567E-2</v>
      </c>
      <c r="D58" s="38" t="s">
        <v>765</v>
      </c>
      <c r="E58" s="37"/>
      <c r="F58" s="38" t="s">
        <v>694</v>
      </c>
      <c r="G58" s="38">
        <v>2</v>
      </c>
      <c r="H58" s="41">
        <v>1.567E-2</v>
      </c>
      <c r="I58" t="s">
        <v>762</v>
      </c>
      <c r="J58" s="38" t="s">
        <v>931</v>
      </c>
      <c r="K58" t="str">
        <f>INDEX(psegm!B:B,MATCH(RIGHT(contract!A58,4),psegm!A:A,0))&amp;" - "&amp;IF(MID(A58,2,2)="CA","Cash Advance",IF(MID(A58,2,2)="OC","OCT",IF(MID(A58,2,2)="PC","PWCB",IF(MID(A58,2,2)="RF","Refund"))))</f>
        <v>Debit MasterCard Com Int - OCT</v>
      </c>
      <c r="L58">
        <v>785</v>
      </c>
      <c r="M58">
        <v>355</v>
      </c>
      <c r="N58" t="str">
        <f t="shared" si="0"/>
        <v>INSERT INTO [dbo].[Contracts] ([Id], [ChargeCodes], [PPI], [PPC], [MerchanID], [Descriptions]) VALUES (785, 'AOCMCD5', '2', '0.01567', 'Auchan', 'Debit MasterCard Com Int - OCT')</v>
      </c>
      <c r="O58" t="str">
        <f t="shared" si="1"/>
        <v>INSERT INTO [dbo].[Contracts] ([Id], [M1ChargeCodes], [M1PPI], [M1PPC], [M1MerchanID]) VALUES (355, 'AOCMCD5', '2', '0.01567', 'MERCH00002')</v>
      </c>
    </row>
    <row r="59" spans="1:15" hidden="1" x14ac:dyDescent="0.3">
      <c r="A59" s="38" t="s">
        <v>695</v>
      </c>
      <c r="B59" s="38">
        <v>2</v>
      </c>
      <c r="C59" s="41">
        <v>1.567E-2</v>
      </c>
      <c r="D59" s="38" t="s">
        <v>765</v>
      </c>
      <c r="E59" s="37"/>
      <c r="F59" s="38" t="s">
        <v>695</v>
      </c>
      <c r="G59" s="38">
        <v>2</v>
      </c>
      <c r="H59" s="41">
        <v>1.567E-2</v>
      </c>
      <c r="I59" t="s">
        <v>762</v>
      </c>
      <c r="J59" s="38" t="s">
        <v>932</v>
      </c>
      <c r="K59" t="str">
        <f>INDEX(psegm!B:B,MATCH(RIGHT(contract!A59,4),psegm!A:A,0))&amp;" - "&amp;IF(MID(A59,2,2)="CA","Cash Advance",IF(MID(A59,2,2)="OC","OCT",IF(MID(A59,2,2)="PC","PWCB",IF(MID(A59,2,2)="RF","Refund"))))</f>
        <v>Maestro UK (DOM) Com - OCT</v>
      </c>
      <c r="L59">
        <v>786</v>
      </c>
      <c r="M59">
        <v>356</v>
      </c>
      <c r="N59" t="str">
        <f t="shared" si="0"/>
        <v>INSERT INTO [dbo].[Contracts] ([Id], [ChargeCodes], [PPI], [PPC], [MerchanID], [Descriptions]) VALUES (786, 'AOCMCD6', '2', '0.01567', 'Auchan', 'Maestro UK (DOM) Com - OCT')</v>
      </c>
      <c r="O59" t="str">
        <f t="shared" si="1"/>
        <v>INSERT INTO [dbo].[Contracts] ([Id], [M1ChargeCodes], [M1PPI], [M1PPC], [M1MerchanID]) VALUES (356, 'AOCMCD6', '2', '0.01567', 'MERCH00002')</v>
      </c>
    </row>
    <row r="60" spans="1:15" hidden="1" x14ac:dyDescent="0.3">
      <c r="A60" s="38" t="s">
        <v>696</v>
      </c>
      <c r="B60" s="38">
        <v>2</v>
      </c>
      <c r="C60" s="41">
        <v>1.567E-2</v>
      </c>
      <c r="D60" s="38" t="s">
        <v>765</v>
      </c>
      <c r="E60" s="37"/>
      <c r="F60" s="38" t="s">
        <v>696</v>
      </c>
      <c r="G60" s="38">
        <v>2</v>
      </c>
      <c r="H60" s="41">
        <v>1.567E-2</v>
      </c>
      <c r="I60" t="s">
        <v>762</v>
      </c>
      <c r="J60" s="38" t="s">
        <v>933</v>
      </c>
      <c r="K60" t="str">
        <f>INDEX(psegm!B:B,MATCH(RIGHT(contract!A60,4),psegm!A:A,0))&amp;" - "&amp;IF(MID(A60,2,2)="CA","Cash Advance",IF(MID(A60,2,2)="OC","OCT",IF(MID(A60,2,2)="PC","PWCB",IF(MID(A60,2,2)="RF","Refund"))))</f>
        <v>Maestro Intl Com - OCT</v>
      </c>
      <c r="L60">
        <v>787</v>
      </c>
      <c r="M60">
        <v>357</v>
      </c>
      <c r="N60" t="str">
        <f t="shared" si="0"/>
        <v>INSERT INTO [dbo].[Contracts] ([Id], [ChargeCodes], [PPI], [PPC], [MerchanID], [Descriptions]) VALUES (787, 'AOCMCD7', '2', '0.01567', 'Auchan', 'Maestro Intl Com - OCT')</v>
      </c>
      <c r="O60" t="str">
        <f t="shared" si="1"/>
        <v>INSERT INTO [dbo].[Contracts] ([Id], [M1ChargeCodes], [M1PPI], [M1PPC], [M1MerchanID]) VALUES (357, 'AOCMCD7', '2', '0.01567', 'MERCH00002')</v>
      </c>
    </row>
    <row r="61" spans="1:15" hidden="1" x14ac:dyDescent="0.3">
      <c r="A61" s="38" t="s">
        <v>638</v>
      </c>
      <c r="B61" s="38">
        <v>2</v>
      </c>
      <c r="C61" s="41">
        <v>1.567E-2</v>
      </c>
      <c r="D61" s="38" t="s">
        <v>765</v>
      </c>
      <c r="E61" s="37"/>
      <c r="F61" s="38" t="s">
        <v>638</v>
      </c>
      <c r="G61" s="38">
        <v>2</v>
      </c>
      <c r="H61" s="41">
        <v>1.567E-2</v>
      </c>
      <c r="I61" t="s">
        <v>762</v>
      </c>
      <c r="J61" s="38" t="s">
        <v>934</v>
      </c>
      <c r="K61" t="str">
        <f>INDEX(psegm!B:B,MATCH(RIGHT(contract!A61,4),psegm!A:A,0))&amp;" - "&amp;IF(MID(A61,2,2)="CA","Cash Advance",IF(MID(A61,2,2)="OC","OCT",IF(MID(A61,2,2)="PC","PWCB",IF(MID(A61,2,2)="RF","Refund"))))</f>
        <v>Maestro UK (DOM) Per - OCT</v>
      </c>
      <c r="L61">
        <v>788</v>
      </c>
      <c r="M61">
        <v>358</v>
      </c>
      <c r="N61" t="str">
        <f t="shared" si="0"/>
        <v>INSERT INTO [dbo].[Contracts] ([Id], [ChargeCodes], [PPI], [PPC], [MerchanID], [Descriptions]) VALUES (788, 'AOCMCD8', '2', '0.01567', 'Auchan', 'Maestro UK (DOM) Per - OCT')</v>
      </c>
      <c r="O61" t="str">
        <f t="shared" si="1"/>
        <v>INSERT INTO [dbo].[Contracts] ([Id], [M1ChargeCodes], [M1PPI], [M1PPC], [M1MerchanID]) VALUES (358, 'AOCMCD8', '2', '0.01567', 'MERCH00002')</v>
      </c>
    </row>
    <row r="62" spans="1:15" hidden="1" x14ac:dyDescent="0.3">
      <c r="A62" s="38" t="s">
        <v>697</v>
      </c>
      <c r="B62" s="38">
        <v>2</v>
      </c>
      <c r="C62" s="41">
        <v>1.567E-2</v>
      </c>
      <c r="D62" s="38" t="s">
        <v>765</v>
      </c>
      <c r="E62" s="37"/>
      <c r="F62" s="38" t="s">
        <v>697</v>
      </c>
      <c r="G62" s="38">
        <v>2</v>
      </c>
      <c r="H62" s="41">
        <v>1.567E-2</v>
      </c>
      <c r="I62" t="s">
        <v>762</v>
      </c>
      <c r="J62" s="38" t="s">
        <v>935</v>
      </c>
      <c r="K62" t="str">
        <f>INDEX(psegm!B:B,MATCH(RIGHT(contract!A62,4),psegm!A:A,0))&amp;" - "&amp;IF(MID(A62,2,2)="CA","Cash Advance",IF(MID(A62,2,2)="OC","OCT",IF(MID(A62,2,2)="PC","PWCB",IF(MID(A62,2,2)="RF","Refund"))))</f>
        <v>Maestro Intl Per - OCT</v>
      </c>
      <c r="L62">
        <v>789</v>
      </c>
      <c r="M62">
        <v>359</v>
      </c>
      <c r="N62" t="str">
        <f t="shared" si="0"/>
        <v>INSERT INTO [dbo].[Contracts] ([Id], [ChargeCodes], [PPI], [PPC], [MerchanID], [Descriptions]) VALUES (789, 'AOCMCD9', '2', '0.01567', 'Auchan', 'Maestro Intl Per - OCT')</v>
      </c>
      <c r="O62" t="str">
        <f t="shared" si="1"/>
        <v>INSERT INTO [dbo].[Contracts] ([Id], [M1ChargeCodes], [M1PPI], [M1PPC], [M1MerchanID]) VALUES (359, 'AOCMCD9', '2', '0.01567', 'MERCH00002')</v>
      </c>
    </row>
    <row r="63" spans="1:15" hidden="1" x14ac:dyDescent="0.3">
      <c r="A63" s="38" t="s">
        <v>161</v>
      </c>
      <c r="B63" s="38">
        <v>2</v>
      </c>
      <c r="C63" s="41">
        <v>1.567E-2</v>
      </c>
      <c r="D63" s="38" t="s">
        <v>765</v>
      </c>
      <c r="E63" s="37"/>
      <c r="F63" s="38" t="s">
        <v>161</v>
      </c>
      <c r="G63" s="38">
        <v>2</v>
      </c>
      <c r="H63" s="41">
        <v>1.567E-2</v>
      </c>
      <c r="I63" t="s">
        <v>762</v>
      </c>
      <c r="J63" s="38" t="s">
        <v>931</v>
      </c>
      <c r="K63" t="str">
        <f>INDEX(psegm!B:B,MATCH(RIGHT(contract!A63,5),psegm!A:A,0))&amp;" - "&amp;IF(MID(A63,2,2)="CA","Cash Advance",IF(MID(A63,2,2)="OC","OCT",IF(MID(A63,2,2)="PC","PWCB",IF(MID(A63,2,2)="RF","Refund"))))</f>
        <v>Debit MasterCard Com Int - OCT</v>
      </c>
      <c r="L63">
        <v>790</v>
      </c>
      <c r="M63">
        <v>360</v>
      </c>
      <c r="N63" t="str">
        <f t="shared" si="0"/>
        <v>INSERT INTO [dbo].[Contracts] ([Id], [ChargeCodes], [PPI], [PPC], [MerchanID], [Descriptions]) VALUES (790, 'AOCMCD10', '2', '0.01567', 'Auchan', 'Debit MasterCard Com Int - OCT')</v>
      </c>
      <c r="O63" t="str">
        <f t="shared" si="1"/>
        <v>INSERT INTO [dbo].[Contracts] ([Id], [M1ChargeCodes], [M1PPI], [M1PPC], [M1MerchanID]) VALUES (360, 'AOCMCD10', '2', '0.01567', 'MERCH00002')</v>
      </c>
    </row>
    <row r="64" spans="1:15" hidden="1" x14ac:dyDescent="0.3">
      <c r="A64" s="38" t="s">
        <v>698</v>
      </c>
      <c r="B64" s="38">
        <v>2</v>
      </c>
      <c r="C64" s="41">
        <v>1.567E-2</v>
      </c>
      <c r="D64" s="38" t="s">
        <v>765</v>
      </c>
      <c r="E64" s="37"/>
      <c r="F64" s="38" t="s">
        <v>698</v>
      </c>
      <c r="G64" s="38">
        <v>2</v>
      </c>
      <c r="H64" s="41">
        <v>1.567E-2</v>
      </c>
      <c r="I64" t="s">
        <v>762</v>
      </c>
      <c r="J64" s="38" t="s">
        <v>936</v>
      </c>
      <c r="K64" t="str">
        <f>INDEX(psegm!B:B,MATCH(RIGHT(contract!A64,4),psegm!A:A,0))&amp;" - "&amp;IF(MID(A64,2,2)="CA","Cash Advance",IF(MID(A64,2,2)="OC","OCT",IF(MID(A64,2,2)="PC","PWCB",IF(MID(A64,2,2)="RF","Refund"))))</f>
        <v>Visa Elec Credit Personal - OCT</v>
      </c>
      <c r="L64">
        <v>791</v>
      </c>
      <c r="M64">
        <v>361</v>
      </c>
      <c r="N64" t="str">
        <f t="shared" si="0"/>
        <v>INSERT INTO [dbo].[Contracts] ([Id], [ChargeCodes], [PPI], [PPC], [MerchanID], [Descriptions]) VALUES (791, 'AOCVIC1', '2', '0.01567', 'Auchan', 'Visa Elec Credit Personal - OCT')</v>
      </c>
      <c r="O64" t="str">
        <f t="shared" si="1"/>
        <v>INSERT INTO [dbo].[Contracts] ([Id], [M1ChargeCodes], [M1PPI], [M1PPC], [M1MerchanID]) VALUES (361, 'AOCVIC1', '2', '0.01567', 'MERCH00002')</v>
      </c>
    </row>
    <row r="65" spans="1:15" hidden="1" x14ac:dyDescent="0.3">
      <c r="A65" s="38" t="s">
        <v>630</v>
      </c>
      <c r="B65" s="38">
        <v>2</v>
      </c>
      <c r="C65" s="41">
        <v>1.567E-2</v>
      </c>
      <c r="D65" s="38" t="s">
        <v>765</v>
      </c>
      <c r="E65" s="37"/>
      <c r="F65" s="38" t="s">
        <v>630</v>
      </c>
      <c r="G65" s="38">
        <v>2</v>
      </c>
      <c r="H65" s="41">
        <v>1.567E-2</v>
      </c>
      <c r="I65" t="s">
        <v>762</v>
      </c>
      <c r="J65" s="38" t="s">
        <v>937</v>
      </c>
      <c r="K65" t="str">
        <f>INDEX(psegm!B:B,MATCH(RIGHT(contract!A65,4),psegm!A:A,0))&amp;" - "&amp;IF(MID(A65,2,2)="CA","Cash Advance",IF(MID(A65,2,2)="OC","OCT",IF(MID(A65,2,2)="PC","PWCB",IF(MID(A65,2,2)="RF","Refund"))))</f>
        <v>Visa Credit Personal - OCT</v>
      </c>
      <c r="L65">
        <v>792</v>
      </c>
      <c r="M65">
        <v>362</v>
      </c>
      <c r="N65" t="str">
        <f t="shared" si="0"/>
        <v>INSERT INTO [dbo].[Contracts] ([Id], [ChargeCodes], [PPI], [PPC], [MerchanID], [Descriptions]) VALUES (792, 'AOCVIC2', '2', '0.01567', 'Auchan', 'Visa Credit Personal - OCT')</v>
      </c>
      <c r="O65" t="str">
        <f t="shared" si="1"/>
        <v>INSERT INTO [dbo].[Contracts] ([Id], [M1ChargeCodes], [M1PPI], [M1PPC], [M1MerchanID]) VALUES (362, 'AOCVIC2', '2', '0.01567', 'MERCH00002')</v>
      </c>
    </row>
    <row r="66" spans="1:15" x14ac:dyDescent="0.3">
      <c r="A66" s="38" t="s">
        <v>631</v>
      </c>
      <c r="B66" s="38">
        <v>2</v>
      </c>
      <c r="C66" s="41">
        <v>1.567E-2</v>
      </c>
      <c r="D66" s="38" t="s">
        <v>765</v>
      </c>
      <c r="E66" s="37"/>
      <c r="F66" s="38" t="s">
        <v>631</v>
      </c>
      <c r="G66" s="38">
        <v>2</v>
      </c>
      <c r="H66" s="41">
        <v>1.567E-2</v>
      </c>
      <c r="I66" t="s">
        <v>762</v>
      </c>
      <c r="J66" s="38" t="s">
        <v>938</v>
      </c>
      <c r="K66" t="str">
        <f>INDEX(psegm!B:B,MATCH(RIGHT(contract!A66,4),psegm!A:A,0))&amp;" - "&amp;IF(MID(A66,2,2)="CA","Cash Advance",IF(MID(A66,2,2)="OC","OCT",IF(MID(A66,2,2)="PC","PWCB",IF(MID(A66,2,2)="RF","Refund"))))</f>
        <v>Visa Business - OCT</v>
      </c>
      <c r="L66">
        <v>793</v>
      </c>
      <c r="M66">
        <v>363</v>
      </c>
      <c r="N66" t="str">
        <f t="shared" si="0"/>
        <v>INSERT INTO [dbo].[Contracts] ([Id], [ChargeCodes], [PPI], [PPC], [MerchanID], [Descriptions]) VALUES (793, 'AOCVIC3', '2', '0.01567', 'Auchan', 'Visa Business - OCT')</v>
      </c>
      <c r="O66" t="str">
        <f t="shared" si="1"/>
        <v>INSERT INTO [dbo].[Contracts] ([Id], [M1ChargeCodes], [M1PPI], [M1PPC], [M1MerchanID]) VALUES (363, 'AOCVIC3', '2', '0.01567', 'MERCH00002')</v>
      </c>
    </row>
    <row r="67" spans="1:15" hidden="1" x14ac:dyDescent="0.3">
      <c r="A67" s="38" t="s">
        <v>632</v>
      </c>
      <c r="B67" s="38">
        <v>2</v>
      </c>
      <c r="C67" s="41">
        <v>1.567E-2</v>
      </c>
      <c r="D67" s="38" t="s">
        <v>765</v>
      </c>
      <c r="E67" s="37"/>
      <c r="F67" s="38" t="s">
        <v>632</v>
      </c>
      <c r="G67" s="38">
        <v>2</v>
      </c>
      <c r="H67" s="41">
        <v>1.567E-2</v>
      </c>
      <c r="I67" t="s">
        <v>762</v>
      </c>
      <c r="J67" s="38" t="s">
        <v>939</v>
      </c>
      <c r="K67" t="str">
        <f>INDEX(psegm!B:B,MATCH(RIGHT(contract!A67,4),psegm!A:A,0))&amp;" - "&amp;IF(MID(A67,2,2)="CA","Cash Advance",IF(MID(A67,2,2)="OC","OCT",IF(MID(A67,2,2)="PC","PWCB",IF(MID(A67,2,2)="RF","Refund"))))</f>
        <v>Visa Commerce - OCT</v>
      </c>
      <c r="L67">
        <v>794</v>
      </c>
      <c r="M67">
        <v>364</v>
      </c>
      <c r="N67" t="str">
        <f t="shared" si="0"/>
        <v>INSERT INTO [dbo].[Contracts] ([Id], [ChargeCodes], [PPI], [PPC], [MerchanID], [Descriptions]) VALUES (794, 'AOCVIC4', '2', '0.01567', 'Auchan', 'Visa Commerce - OCT')</v>
      </c>
      <c r="O67" t="str">
        <f t="shared" si="1"/>
        <v>INSERT INTO [dbo].[Contracts] ([Id], [M1ChargeCodes], [M1PPI], [M1PPC], [M1MerchanID]) VALUES (364, 'AOCVIC4', '2', '0.01567', 'MERCH00002')</v>
      </c>
    </row>
    <row r="68" spans="1:15" hidden="1" x14ac:dyDescent="0.3">
      <c r="A68" s="38" t="s">
        <v>633</v>
      </c>
      <c r="B68" s="38">
        <v>2</v>
      </c>
      <c r="C68" s="41">
        <v>1.567E-2</v>
      </c>
      <c r="D68" s="38" t="s">
        <v>765</v>
      </c>
      <c r="E68" s="37"/>
      <c r="F68" s="38" t="s">
        <v>633</v>
      </c>
      <c r="G68" s="38">
        <v>2</v>
      </c>
      <c r="H68" s="41">
        <v>1.567E-2</v>
      </c>
      <c r="I68" t="s">
        <v>762</v>
      </c>
      <c r="J68" s="38" t="s">
        <v>940</v>
      </c>
      <c r="K68" t="str">
        <f>INDEX(psegm!B:B,MATCH(RIGHT(contract!A68,4),psegm!A:A,0))&amp;" - "&amp;IF(MID(A68,2,2)="CA","Cash Advance",IF(MID(A68,2,2)="OC","OCT",IF(MID(A68,2,2)="PC","PWCB",IF(MID(A68,2,2)="RF","Refund"))))</f>
        <v>Visa Corporate - OCT</v>
      </c>
      <c r="L68">
        <v>795</v>
      </c>
      <c r="M68">
        <v>365</v>
      </c>
      <c r="N68" t="str">
        <f t="shared" ref="N68:N131" si="2">"INSERT INTO [dbo].[Contracts] ([Id], [ChargeCodes], [PPI], [PPC], [MerchanID], [Descriptions]) VALUES ("&amp;L68&amp;", '"&amp;A68&amp;"', '"&amp;B68&amp;"', '"&amp;C68&amp;"', '"&amp;D68&amp;"', '"&amp;K68&amp;"')"</f>
        <v>INSERT INTO [dbo].[Contracts] ([Id], [ChargeCodes], [PPI], [PPC], [MerchanID], [Descriptions]) VALUES (795, 'AOCVIC5', '2', '0.01567', 'Auchan', 'Visa Corporate - OCT')</v>
      </c>
      <c r="O68" t="str">
        <f t="shared" ref="O68:O131" si="3">"INSERT INTO [dbo].[Contracts] ([Id], [M1ChargeCodes], [M1PPI], [M1PPC], [M1MerchanID]) VALUES ("&amp;M68&amp;", '"&amp;F68&amp;"', '"&amp;G68&amp;"', '"&amp;H68&amp;"', '"&amp;I68&amp;"')"</f>
        <v>INSERT INTO [dbo].[Contracts] ([Id], [M1ChargeCodes], [M1PPI], [M1PPC], [M1MerchanID]) VALUES (365, 'AOCVIC5', '2', '0.01567', 'MERCH00002')</v>
      </c>
    </row>
    <row r="69" spans="1:15" hidden="1" x14ac:dyDescent="0.3">
      <c r="A69" s="38" t="s">
        <v>634</v>
      </c>
      <c r="B69" s="38">
        <v>2</v>
      </c>
      <c r="C69" s="41">
        <v>1.567E-2</v>
      </c>
      <c r="D69" s="38" t="s">
        <v>765</v>
      </c>
      <c r="E69" s="37"/>
      <c r="F69" s="38" t="s">
        <v>634</v>
      </c>
      <c r="G69" s="38">
        <v>2</v>
      </c>
      <c r="H69" s="41">
        <v>1.567E-2</v>
      </c>
      <c r="I69" t="s">
        <v>762</v>
      </c>
      <c r="J69" s="38" t="s">
        <v>941</v>
      </c>
      <c r="K69" t="str">
        <f>INDEX(psegm!B:B,MATCH(RIGHT(contract!A69,4),psegm!A:A,0))&amp;" - "&amp;IF(MID(A69,2,2)="CA","Cash Advance",IF(MID(A69,2,2)="OC","OCT",IF(MID(A69,2,2)="PC","PWCB",IF(MID(A69,2,2)="RF","Refund"))))</f>
        <v>Visa Purchasing - OCT</v>
      </c>
      <c r="L69">
        <v>796</v>
      </c>
      <c r="M69">
        <v>366</v>
      </c>
      <c r="N69" t="str">
        <f t="shared" si="2"/>
        <v>INSERT INTO [dbo].[Contracts] ([Id], [ChargeCodes], [PPI], [PPC], [MerchanID], [Descriptions]) VALUES (796, 'AOCVIC6', '2', '0.01567', 'Auchan', 'Visa Purchasing - OCT')</v>
      </c>
      <c r="O69" t="str">
        <f t="shared" si="3"/>
        <v>INSERT INTO [dbo].[Contracts] ([Id], [M1ChargeCodes], [M1PPI], [M1PPC], [M1MerchanID]) VALUES (366, 'AOCVIC6', '2', '0.01567', 'MERCH00002')</v>
      </c>
    </row>
    <row r="70" spans="1:15" hidden="1" x14ac:dyDescent="0.3">
      <c r="A70" s="38" t="s">
        <v>699</v>
      </c>
      <c r="B70" s="38">
        <v>2</v>
      </c>
      <c r="C70" s="41">
        <v>1.567E-2</v>
      </c>
      <c r="D70" s="38" t="s">
        <v>765</v>
      </c>
      <c r="E70" s="37"/>
      <c r="F70" s="38" t="s">
        <v>699</v>
      </c>
      <c r="G70" s="38">
        <v>2</v>
      </c>
      <c r="H70" s="41">
        <v>1.567E-2</v>
      </c>
      <c r="I70" t="s">
        <v>762</v>
      </c>
      <c r="J70" s="38" t="s">
        <v>942</v>
      </c>
      <c r="K70" t="str">
        <f>INDEX(psegm!B:B,MATCH(RIGHT(contract!A70,4),psegm!A:A,0))&amp;" - "&amp;IF(MID(A70,2,2)="CA","Cash Advance",IF(MID(A70,2,2)="OC","OCT",IF(MID(A70,2,2)="PC","PWCB",IF(MID(A70,2,2)="RF","Refund"))))</f>
        <v>Visa Electron Credit - OCT</v>
      </c>
      <c r="L70">
        <v>797</v>
      </c>
      <c r="M70">
        <v>367</v>
      </c>
      <c r="N70" t="str">
        <f t="shared" si="2"/>
        <v>INSERT INTO [dbo].[Contracts] ([Id], [ChargeCodes], [PPI], [PPC], [MerchanID], [Descriptions]) VALUES (797, 'AOCVIC7', '2', '0.01567', 'Auchan', 'Visa Electron Credit - OCT')</v>
      </c>
      <c r="O70" t="str">
        <f t="shared" si="3"/>
        <v>INSERT INTO [dbo].[Contracts] ([Id], [M1ChargeCodes], [M1PPI], [M1PPC], [M1MerchanID]) VALUES (367, 'AOCVIC7', '2', '0.01567', 'MERCH00002')</v>
      </c>
    </row>
    <row r="71" spans="1:15" hidden="1" x14ac:dyDescent="0.3">
      <c r="A71" s="38" t="s">
        <v>636</v>
      </c>
      <c r="B71" s="38">
        <v>2</v>
      </c>
      <c r="C71" s="41">
        <v>1.567E-2</v>
      </c>
      <c r="D71" s="38" t="s">
        <v>765</v>
      </c>
      <c r="E71" s="37"/>
      <c r="F71" s="38" t="s">
        <v>636</v>
      </c>
      <c r="G71" s="38">
        <v>2</v>
      </c>
      <c r="H71" s="41">
        <v>1.567E-2</v>
      </c>
      <c r="I71" t="s">
        <v>762</v>
      </c>
      <c r="J71" s="38" t="s">
        <v>943</v>
      </c>
      <c r="K71" t="str">
        <f>INDEX(psegm!B:B,MATCH(RIGHT(contract!A71,4),psegm!A:A,0))&amp;" - "&amp;IF(MID(A71,2,2)="CA","Cash Advance",IF(MID(A71,2,2)="OC","OCT",IF(MID(A71,2,2)="PC","PWCB",IF(MID(A71,2,2)="RF","Refund"))))</f>
        <v>Visa Debit Per - OCT</v>
      </c>
      <c r="L71">
        <v>798</v>
      </c>
      <c r="M71">
        <v>368</v>
      </c>
      <c r="N71" t="str">
        <f t="shared" si="2"/>
        <v>INSERT INTO [dbo].[Contracts] ([Id], [ChargeCodes], [PPI], [PPC], [MerchanID], [Descriptions]) VALUES (798, 'AOCVID1', '2', '0.01567', 'Auchan', 'Visa Debit Per - OCT')</v>
      </c>
      <c r="O71" t="str">
        <f t="shared" si="3"/>
        <v>INSERT INTO [dbo].[Contracts] ([Id], [M1ChargeCodes], [M1PPI], [M1PPC], [M1MerchanID]) VALUES (368, 'AOCVID1', '2', '0.01567', 'MERCH00002')</v>
      </c>
    </row>
    <row r="72" spans="1:15" hidden="1" x14ac:dyDescent="0.3">
      <c r="A72" s="38" t="s">
        <v>700</v>
      </c>
      <c r="B72" s="38">
        <v>2</v>
      </c>
      <c r="C72" s="41">
        <v>1.567E-2</v>
      </c>
      <c r="D72" s="38" t="s">
        <v>765</v>
      </c>
      <c r="E72" s="37"/>
      <c r="F72" s="38" t="s">
        <v>700</v>
      </c>
      <c r="G72" s="38">
        <v>2</v>
      </c>
      <c r="H72" s="41">
        <v>1.567E-2</v>
      </c>
      <c r="I72" t="s">
        <v>762</v>
      </c>
      <c r="J72" s="38" t="s">
        <v>944</v>
      </c>
      <c r="K72" t="str">
        <f>INDEX(psegm!B:B,MATCH(RIGHT(contract!A72,4),psegm!A:A,0))&amp;" - "&amp;IF(MID(A72,2,2)="CA","Cash Advance",IF(MID(A72,2,2)="OC","OCT",IF(MID(A72,2,2)="PC","PWCB",IF(MID(A72,2,2)="RF","Refund"))))</f>
        <v>Visa Dr Per Int - OCT</v>
      </c>
      <c r="L72">
        <v>799</v>
      </c>
      <c r="M72">
        <v>369</v>
      </c>
      <c r="N72" t="str">
        <f t="shared" si="2"/>
        <v>INSERT INTO [dbo].[Contracts] ([Id], [ChargeCodes], [PPI], [PPC], [MerchanID], [Descriptions]) VALUES (799, 'AOCVID2', '2', '0.01567', 'Auchan', 'Visa Dr Per Int - OCT')</v>
      </c>
      <c r="O72" t="str">
        <f t="shared" si="3"/>
        <v>INSERT INTO [dbo].[Contracts] ([Id], [M1ChargeCodes], [M1PPI], [M1PPC], [M1MerchanID]) VALUES (369, 'AOCVID2', '2', '0.01567', 'MERCH00002')</v>
      </c>
    </row>
    <row r="73" spans="1:15" hidden="1" x14ac:dyDescent="0.3">
      <c r="A73" s="38" t="s">
        <v>701</v>
      </c>
      <c r="B73" s="38">
        <v>2</v>
      </c>
      <c r="C73" s="41">
        <v>1.567E-2</v>
      </c>
      <c r="D73" s="38" t="s">
        <v>765</v>
      </c>
      <c r="E73" s="37"/>
      <c r="F73" s="38" t="s">
        <v>701</v>
      </c>
      <c r="G73" s="38">
        <v>2</v>
      </c>
      <c r="H73" s="41">
        <v>1.567E-2</v>
      </c>
      <c r="I73" t="s">
        <v>762</v>
      </c>
      <c r="J73" s="38" t="s">
        <v>945</v>
      </c>
      <c r="K73" t="str">
        <f>INDEX(psegm!B:B,MATCH(RIGHT(contract!A73,4),psegm!A:A,0))&amp;" - "&amp;IF(MID(A73,2,2)="CA","Cash Advance",IF(MID(A73,2,2)="OC","OCT",IF(MID(A73,2,2)="PC","PWCB",IF(MID(A73,2,2)="RF","Refund"))))</f>
        <v>Visa Debit Com - OCT</v>
      </c>
      <c r="L73">
        <v>800</v>
      </c>
      <c r="M73">
        <v>370</v>
      </c>
      <c r="N73" t="str">
        <f t="shared" si="2"/>
        <v>INSERT INTO [dbo].[Contracts] ([Id], [ChargeCodes], [PPI], [PPC], [MerchanID], [Descriptions]) VALUES (800, 'AOCVID3', '2', '0.01567', 'Auchan', 'Visa Debit Com - OCT')</v>
      </c>
      <c r="O73" t="str">
        <f t="shared" si="3"/>
        <v>INSERT INTO [dbo].[Contracts] ([Id], [M1ChargeCodes], [M1PPI], [M1PPC], [M1MerchanID]) VALUES (370, 'AOCVID3', '2', '0.01567', 'MERCH00002')</v>
      </c>
    </row>
    <row r="74" spans="1:15" hidden="1" x14ac:dyDescent="0.3">
      <c r="A74" s="38" t="s">
        <v>635</v>
      </c>
      <c r="B74" s="38">
        <v>2</v>
      </c>
      <c r="C74" s="41">
        <v>1.567E-2</v>
      </c>
      <c r="D74" s="38" t="s">
        <v>765</v>
      </c>
      <c r="E74" s="37"/>
      <c r="F74" s="38" t="s">
        <v>635</v>
      </c>
      <c r="G74" s="38">
        <v>2</v>
      </c>
      <c r="H74" s="41">
        <v>1.567E-2</v>
      </c>
      <c r="I74" t="s">
        <v>762</v>
      </c>
      <c r="J74" s="38" t="s">
        <v>946</v>
      </c>
      <c r="K74" t="str">
        <f>INDEX(psegm!B:B,MATCH(RIGHT(contract!A74,4),psegm!A:A,0))&amp;" - "&amp;IF(MID(A74,2,2)="CA","Cash Advance",IF(MID(A74,2,2)="OC","OCT",IF(MID(A74,2,2)="PC","PWCB",IF(MID(A74,2,2)="RF","Refund"))))</f>
        <v>Visa Dr Com Intl - OCT</v>
      </c>
      <c r="L74">
        <v>801</v>
      </c>
      <c r="M74">
        <v>371</v>
      </c>
      <c r="N74" t="str">
        <f t="shared" si="2"/>
        <v>INSERT INTO [dbo].[Contracts] ([Id], [ChargeCodes], [PPI], [PPC], [MerchanID], [Descriptions]) VALUES (801, 'AOCVID4', '2', '0.01567', 'Auchan', 'Visa Dr Com Intl - OCT')</v>
      </c>
      <c r="O74" t="str">
        <f t="shared" si="3"/>
        <v>INSERT INTO [dbo].[Contracts] ([Id], [M1ChargeCodes], [M1PPI], [M1PPC], [M1MerchanID]) VALUES (371, 'AOCVID4', '2', '0.01567', 'MERCH00002')</v>
      </c>
    </row>
    <row r="75" spans="1:15" hidden="1" x14ac:dyDescent="0.3">
      <c r="A75" s="38" t="s">
        <v>639</v>
      </c>
      <c r="B75" s="38">
        <v>2</v>
      </c>
      <c r="C75" s="41">
        <v>1.567E-2</v>
      </c>
      <c r="D75" s="38" t="s">
        <v>765</v>
      </c>
      <c r="E75" s="37"/>
      <c r="F75" s="38" t="s">
        <v>639</v>
      </c>
      <c r="G75" s="38">
        <v>2</v>
      </c>
      <c r="H75" s="41">
        <v>1.567E-2</v>
      </c>
      <c r="I75" t="s">
        <v>762</v>
      </c>
      <c r="J75" s="38" t="s">
        <v>947</v>
      </c>
      <c r="K75" t="str">
        <f>INDEX(psegm!B:B,MATCH(RIGHT(contract!A75,4),psegm!A:A,0))&amp;" - "&amp;IF(MID(A75,2,2)="CA","Cash Advance",IF(MID(A75,2,2)="OC","OCT",IF(MID(A75,2,2)="PC","PWCB",IF(MID(A75,2,2)="RF","Refund"))))</f>
        <v>Visa Electron - OCT</v>
      </c>
      <c r="L75">
        <v>802</v>
      </c>
      <c r="M75">
        <v>372</v>
      </c>
      <c r="N75" t="str">
        <f t="shared" si="2"/>
        <v>INSERT INTO [dbo].[Contracts] ([Id], [ChargeCodes], [PPI], [PPC], [MerchanID], [Descriptions]) VALUES (802, 'AOCVID5', '2', '0.01567', 'Auchan', 'Visa Electron - OCT')</v>
      </c>
      <c r="O75" t="str">
        <f t="shared" si="3"/>
        <v>INSERT INTO [dbo].[Contracts] ([Id], [M1ChargeCodes], [M1PPI], [M1PPC], [M1MerchanID]) VALUES (372, 'AOCVID5', '2', '0.01567', 'MERCH00002')</v>
      </c>
    </row>
    <row r="76" spans="1:15" hidden="1" x14ac:dyDescent="0.3">
      <c r="A76" s="38" t="s">
        <v>702</v>
      </c>
      <c r="B76" s="38">
        <v>2</v>
      </c>
      <c r="C76" s="41">
        <v>1.567E-2</v>
      </c>
      <c r="D76" s="38" t="s">
        <v>765</v>
      </c>
      <c r="E76" s="37"/>
      <c r="F76" s="38" t="s">
        <v>702</v>
      </c>
      <c r="G76" s="38">
        <v>2</v>
      </c>
      <c r="H76" s="41">
        <v>1.567E-2</v>
      </c>
      <c r="I76" t="s">
        <v>762</v>
      </c>
      <c r="J76" s="38" t="s">
        <v>948</v>
      </c>
      <c r="K76" t="str">
        <f>INDEX(psegm!B:B,MATCH(RIGHT(contract!A76,4),psegm!A:A,0))&amp;" - "&amp;IF(MID(A76,2,2)="CA","Cash Advance",IF(MID(A76,2,2)="OC","OCT",IF(MID(A76,2,2)="PC","PWCB",IF(MID(A76,2,2)="RF","Refund"))))</f>
        <v>Visa Elec Per Int - OCT</v>
      </c>
      <c r="L76">
        <v>803</v>
      </c>
      <c r="M76">
        <v>373</v>
      </c>
      <c r="N76" t="str">
        <f t="shared" si="2"/>
        <v>INSERT INTO [dbo].[Contracts] ([Id], [ChargeCodes], [PPI], [PPC], [MerchanID], [Descriptions]) VALUES (803, 'AOCVID6', '2', '0.01567', 'Auchan', 'Visa Elec Per Int - OCT')</v>
      </c>
      <c r="O76" t="str">
        <f t="shared" si="3"/>
        <v>INSERT INTO [dbo].[Contracts] ([Id], [M1ChargeCodes], [M1PPI], [M1PPC], [M1MerchanID]) VALUES (373, 'AOCVID6', '2', '0.01567', 'MERCH00002')</v>
      </c>
    </row>
    <row r="77" spans="1:15" hidden="1" x14ac:dyDescent="0.3">
      <c r="A77" s="38" t="s">
        <v>703</v>
      </c>
      <c r="B77" s="38">
        <v>2</v>
      </c>
      <c r="C77" s="41">
        <v>1.567E-2</v>
      </c>
      <c r="D77" s="38" t="s">
        <v>765</v>
      </c>
      <c r="E77" s="37"/>
      <c r="F77" s="38" t="s">
        <v>703</v>
      </c>
      <c r="G77" s="38">
        <v>2</v>
      </c>
      <c r="H77" s="41">
        <v>1.567E-2</v>
      </c>
      <c r="I77" t="s">
        <v>762</v>
      </c>
      <c r="J77" s="38" t="s">
        <v>949</v>
      </c>
      <c r="K77" t="str">
        <f>INDEX(psegm!B:B,MATCH(RIGHT(contract!A77,4),psegm!A:A,0))&amp;" - "&amp;IF(MID(A77,2,2)="CA","Cash Advance",IF(MID(A77,2,2)="OC","OCT",IF(MID(A77,2,2)="PC","PWCB",IF(MID(A77,2,2)="RF","Refund"))))</f>
        <v>All Star - OCT</v>
      </c>
      <c r="L77">
        <v>804</v>
      </c>
      <c r="M77">
        <v>374</v>
      </c>
      <c r="N77" t="str">
        <f t="shared" si="2"/>
        <v>INSERT INTO [dbo].[Contracts] ([Id], [ChargeCodes], [PPI], [PPC], [MerchanID], [Descriptions]) VALUES (804, 'AOCALLS', '2', '0.01567', 'Auchan', 'All Star - OCT')</v>
      </c>
      <c r="O77" t="str">
        <f t="shared" si="3"/>
        <v>INSERT INTO [dbo].[Contracts] ([Id], [M1ChargeCodes], [M1PPI], [M1PPC], [M1MerchanID]) VALUES (374, 'AOCALLS', '2', '0.01567', 'MERCH00002')</v>
      </c>
    </row>
    <row r="78" spans="1:15" hidden="1" x14ac:dyDescent="0.3">
      <c r="A78" s="38" t="s">
        <v>164</v>
      </c>
      <c r="B78" s="38">
        <v>2</v>
      </c>
      <c r="C78" s="41">
        <v>1.567E-2</v>
      </c>
      <c r="D78" s="38" t="s">
        <v>765</v>
      </c>
      <c r="E78" s="37"/>
      <c r="F78" s="38" t="s">
        <v>164</v>
      </c>
      <c r="G78" s="38">
        <v>2</v>
      </c>
      <c r="H78" s="41">
        <v>1.567E-2</v>
      </c>
      <c r="I78" t="s">
        <v>762</v>
      </c>
      <c r="J78" s="38" t="s">
        <v>950</v>
      </c>
      <c r="K78" t="str">
        <f>INDEX(psegm!B:B,MATCH(RIGHT(contract!A78,2),psegm!A:A,0))&amp;" - "&amp;IF(MID(A78,2,2)="CA","Cash Advance",IF(MID(A78,2,2)="OC","OCT",IF(MID(A78,2,2)="PC","PWCB",IF(MID(A78,2,2)="RF","Refund"))))</f>
        <v>Diners Discover - OCT</v>
      </c>
      <c r="L78">
        <v>805</v>
      </c>
      <c r="M78">
        <v>375</v>
      </c>
      <c r="N78" t="str">
        <f t="shared" si="2"/>
        <v>INSERT INTO [dbo].[Contracts] ([Id], [ChargeCodes], [PPI], [PPC], [MerchanID], [Descriptions]) VALUES (805, 'AOCDD', '2', '0.01567', 'Auchan', 'Diners Discover - OCT')</v>
      </c>
      <c r="O78" t="str">
        <f t="shared" si="3"/>
        <v>INSERT INTO [dbo].[Contracts] ([Id], [M1ChargeCodes], [M1PPI], [M1PPC], [M1MerchanID]) VALUES (375, 'AOCDD', '2', '0.01567', 'MERCH00002')</v>
      </c>
    </row>
    <row r="79" spans="1:15" hidden="1" x14ac:dyDescent="0.3">
      <c r="A79" s="38" t="s">
        <v>704</v>
      </c>
      <c r="B79" s="38">
        <v>2</v>
      </c>
      <c r="C79" s="41">
        <v>1.567E-2</v>
      </c>
      <c r="D79" s="38" t="s">
        <v>765</v>
      </c>
      <c r="E79" s="37"/>
      <c r="F79" s="38" t="s">
        <v>704</v>
      </c>
      <c r="G79" s="38">
        <v>2</v>
      </c>
      <c r="H79" s="41">
        <v>1.567E-2</v>
      </c>
      <c r="I79" t="s">
        <v>762</v>
      </c>
      <c r="J79" s="38" t="s">
        <v>951</v>
      </c>
      <c r="K79" t="str">
        <f>INDEX(psegm!B:B,MATCH(RIGHT(contract!A79,2),psegm!A:A,0))&amp;" - "&amp;IF(MID(A79,2,2)="CA","Cash Advance",IF(MID(A79,2,2)="OC","OCT",IF(MID(A79,2,2)="PC","PWCB",IF(MID(A79,2,2)="RF","Refund"))))</f>
        <v>Diners International - OCT</v>
      </c>
      <c r="L79">
        <v>806</v>
      </c>
      <c r="M79">
        <v>376</v>
      </c>
      <c r="N79" t="str">
        <f t="shared" si="2"/>
        <v>INSERT INTO [dbo].[Contracts] ([Id], [ChargeCodes], [PPI], [PPC], [MerchanID], [Descriptions]) VALUES (806, 'AOCDI', '2', '0.01567', 'Auchan', 'Diners International - OCT')</v>
      </c>
      <c r="O79" t="str">
        <f t="shared" si="3"/>
        <v>INSERT INTO [dbo].[Contracts] ([Id], [M1ChargeCodes], [M1PPI], [M1PPC], [M1MerchanID]) VALUES (376, 'AOCDI', '2', '0.01567', 'MERCH00002')</v>
      </c>
    </row>
    <row r="80" spans="1:15" hidden="1" x14ac:dyDescent="0.3">
      <c r="A80" s="38" t="s">
        <v>705</v>
      </c>
      <c r="B80" s="38">
        <v>2</v>
      </c>
      <c r="C80" s="41">
        <v>1.567E-2</v>
      </c>
      <c r="D80" s="38" t="s">
        <v>765</v>
      </c>
      <c r="E80" s="37"/>
      <c r="F80" s="38" t="s">
        <v>705</v>
      </c>
      <c r="G80" s="38">
        <v>2</v>
      </c>
      <c r="H80" s="41">
        <v>1.567E-2</v>
      </c>
      <c r="I80" t="s">
        <v>762</v>
      </c>
      <c r="J80" s="38" t="s">
        <v>952</v>
      </c>
      <c r="K80" t="str">
        <f>INDEX(psegm!B:B,MATCH(RIGHT(contract!A80,3),psegm!A:A,0))&amp;" - "&amp;IF(MID(A80,2,2)="CA","Cash Advance",IF(MID(A80,2,2)="OC","OCT",IF(MID(A80,2,2)="PC","PWCB",IF(MID(A80,2,2)="RF","Refund"))))</f>
        <v>Diners UK (Elavon) - OCT</v>
      </c>
      <c r="L80">
        <v>807</v>
      </c>
      <c r="M80">
        <v>377</v>
      </c>
      <c r="N80" t="str">
        <f t="shared" si="2"/>
        <v>INSERT INTO [dbo].[Contracts] ([Id], [ChargeCodes], [PPI], [PPC], [MerchanID], [Descriptions]) VALUES (807, 'AOCDUK', '2', '0.01567', 'Auchan', 'Diners UK (Elavon) - OCT')</v>
      </c>
      <c r="O80" t="str">
        <f t="shared" si="3"/>
        <v>INSERT INTO [dbo].[Contracts] ([Id], [M1ChargeCodes], [M1PPI], [M1PPC], [M1MerchanID]) VALUES (377, 'AOCDUK', '2', '0.01567', 'MERCH00002')</v>
      </c>
    </row>
    <row r="81" spans="1:15" hidden="1" x14ac:dyDescent="0.3">
      <c r="A81" s="38" t="s">
        <v>706</v>
      </c>
      <c r="B81" s="38">
        <v>2</v>
      </c>
      <c r="C81" s="41">
        <v>1.567E-2</v>
      </c>
      <c r="D81" s="38" t="s">
        <v>765</v>
      </c>
      <c r="E81" s="37"/>
      <c r="F81" s="38" t="s">
        <v>706</v>
      </c>
      <c r="G81" s="38">
        <v>2</v>
      </c>
      <c r="H81" s="41">
        <v>1.567E-2</v>
      </c>
      <c r="I81" t="s">
        <v>762</v>
      </c>
      <c r="J81" s="38" t="s">
        <v>953</v>
      </c>
      <c r="K81" t="str">
        <f>INDEX(psegm!B:B,MATCH(RIGHT(contract!A81,5),psegm!A:A,0))&amp;" - "&amp;IF(MID(A81,2,2)="CA","Purchase",IF(MID(A81,2,2)="OC","OCT",IF(MID(A81,2,2)="PC","PWCB",IF(MID(A81,2,2)="RF","Refund"))))</f>
        <v>LaSer - OCT</v>
      </c>
      <c r="L81">
        <v>808</v>
      </c>
      <c r="M81">
        <v>378</v>
      </c>
      <c r="N81" t="str">
        <f t="shared" si="2"/>
        <v>INSERT INTO [dbo].[Contracts] ([Id], [ChargeCodes], [PPI], [PPC], [MerchanID], [Descriptions]) VALUES (808, 'AOCLASER', '2', '0.01567', 'Auchan', 'LaSer - OCT')</v>
      </c>
      <c r="O81" t="str">
        <f t="shared" si="3"/>
        <v>INSERT INTO [dbo].[Contracts] ([Id], [M1ChargeCodes], [M1PPI], [M1PPC], [M1MerchanID]) VALUES (378, 'AOCLASER', '2', '0.01567', 'MERCH00002')</v>
      </c>
    </row>
    <row r="82" spans="1:15" hidden="1" x14ac:dyDescent="0.3">
      <c r="A82" s="38" t="s">
        <v>707</v>
      </c>
      <c r="B82" s="38">
        <v>2</v>
      </c>
      <c r="C82" s="41">
        <v>1.567E-2</v>
      </c>
      <c r="D82" s="38" t="s">
        <v>765</v>
      </c>
      <c r="E82" s="37"/>
      <c r="F82" s="38" t="s">
        <v>707</v>
      </c>
      <c r="G82" s="38">
        <v>2</v>
      </c>
      <c r="H82" s="41">
        <v>1.567E-2</v>
      </c>
      <c r="I82" t="s">
        <v>762</v>
      </c>
      <c r="J82" s="38" t="s">
        <v>954</v>
      </c>
      <c r="K82" t="str">
        <f>INDEX(psegm!B:B,MATCH(RIGHT(contract!A82,5),psegm!A:A,0))&amp;" - "&amp;IF(MID(A82,2,2)="CA","Purchase",IF(MID(A82,2,2)="OC","OCT",IF(MID(A82,2,2)="PC","PWCB",IF(MID(A82,2,2)="RF","Refund"))))</f>
        <v>JCB UK - OCT</v>
      </c>
      <c r="L82">
        <v>809</v>
      </c>
      <c r="M82">
        <v>379</v>
      </c>
      <c r="N82" t="str">
        <f t="shared" si="2"/>
        <v>INSERT INTO [dbo].[Contracts] ([Id], [ChargeCodes], [PPI], [PPC], [MerchanID], [Descriptions]) VALUES (809, 'AOCJCBUK', '2', '0.01567', 'Auchan', 'JCB UK - OCT')</v>
      </c>
      <c r="O82" t="str">
        <f t="shared" si="3"/>
        <v>INSERT INTO [dbo].[Contracts] ([Id], [M1ChargeCodes], [M1PPI], [M1PPC], [M1MerchanID]) VALUES (379, 'AOCJCBUK', '2', '0.01567', 'MERCH00002')</v>
      </c>
    </row>
    <row r="83" spans="1:15" hidden="1" x14ac:dyDescent="0.3">
      <c r="A83" s="38" t="s">
        <v>708</v>
      </c>
      <c r="B83" s="38">
        <v>2</v>
      </c>
      <c r="C83" s="41">
        <v>1.567E-2</v>
      </c>
      <c r="D83" s="38" t="s">
        <v>765</v>
      </c>
      <c r="E83" s="37"/>
      <c r="F83" s="38" t="s">
        <v>708</v>
      </c>
      <c r="G83" s="38">
        <v>2</v>
      </c>
      <c r="H83" s="41">
        <v>1.567E-2</v>
      </c>
      <c r="I83" t="s">
        <v>762</v>
      </c>
      <c r="J83" s="38" t="s">
        <v>955</v>
      </c>
      <c r="K83" t="str">
        <f>INDEX(psegm!B:B,MATCH(RIGHT(contract!A83,6),psegm!A:A,0))&amp;" - "&amp;IF(MID(A83,2,2)="CA","Purchase",IF(MID(A83,2,2)="OC","OCT",IF(MID(A83,2,2)="PC","PWCB",IF(MID(A83,2,2)="RF","Refund"))))</f>
        <v>JCB ROI - OCT</v>
      </c>
      <c r="L83">
        <v>810</v>
      </c>
      <c r="M83">
        <v>380</v>
      </c>
      <c r="N83" t="str">
        <f t="shared" si="2"/>
        <v>INSERT INTO [dbo].[Contracts] ([Id], [ChargeCodes], [PPI], [PPC], [MerchanID], [Descriptions]) VALUES (810, 'AOCJCBROI', '2', '0.01567', 'Auchan', 'JCB ROI - OCT')</v>
      </c>
      <c r="O83" t="str">
        <f t="shared" si="3"/>
        <v>INSERT INTO [dbo].[Contracts] ([Id], [M1ChargeCodes], [M1PPI], [M1PPC], [M1MerchanID]) VALUES (380, 'AOCJCBROI', '2', '0.01567', 'MERCH00002')</v>
      </c>
    </row>
    <row r="84" spans="1:15" hidden="1" x14ac:dyDescent="0.3">
      <c r="A84" s="38" t="s">
        <v>709</v>
      </c>
      <c r="B84" s="38">
        <v>2</v>
      </c>
      <c r="C84" s="41">
        <v>1.567E-2</v>
      </c>
      <c r="D84" s="38" t="s">
        <v>765</v>
      </c>
      <c r="E84" s="37"/>
      <c r="F84" s="38" t="s">
        <v>709</v>
      </c>
      <c r="G84" s="38">
        <v>2</v>
      </c>
      <c r="H84" s="41">
        <v>1.567E-2</v>
      </c>
      <c r="I84" t="s">
        <v>762</v>
      </c>
      <c r="J84" s="38" t="s">
        <v>956</v>
      </c>
      <c r="K84" t="str">
        <f>INDEX(psegm!B:B,MATCH(RIGHT(contract!A84,4),psegm!A:A,0))&amp;" - "&amp;IF(MID(A84,2,2)="CA","Purchase",IF(MID(A84,2,2)="OC","OCT",IF(MID(A84,2,2)="PC","PWCB",IF(MID(A84,2,2)="RF","Refund"))))</f>
        <v>JCB International - OCT</v>
      </c>
      <c r="L84">
        <v>811</v>
      </c>
      <c r="M84">
        <v>381</v>
      </c>
      <c r="N84" t="str">
        <f t="shared" si="2"/>
        <v>INSERT INTO [dbo].[Contracts] ([Id], [ChargeCodes], [PPI], [PPC], [MerchanID], [Descriptions]) VALUES (811, 'AOCJCBI', '2', '0.01567', 'Auchan', 'JCB International - OCT')</v>
      </c>
      <c r="O84" t="str">
        <f t="shared" si="3"/>
        <v>INSERT INTO [dbo].[Contracts] ([Id], [M1ChargeCodes], [M1PPI], [M1PPC], [M1MerchanID]) VALUES (381, 'AOCJCBI', '2', '0.01567', 'MERCH00002')</v>
      </c>
    </row>
    <row r="85" spans="1:15" hidden="1" x14ac:dyDescent="0.3">
      <c r="A85" s="38" t="s">
        <v>710</v>
      </c>
      <c r="B85" s="38">
        <v>2</v>
      </c>
      <c r="C85" s="41">
        <v>1.567E-2</v>
      </c>
      <c r="D85" s="38" t="s">
        <v>765</v>
      </c>
      <c r="E85" s="37"/>
      <c r="F85" s="38" t="s">
        <v>710</v>
      </c>
      <c r="G85" s="38">
        <v>2</v>
      </c>
      <c r="H85" s="41">
        <v>1.567E-2</v>
      </c>
      <c r="I85" t="s">
        <v>762</v>
      </c>
      <c r="J85" s="38" t="s">
        <v>957</v>
      </c>
      <c r="K85" t="str">
        <f>INDEX(psegm!B:B,MATCH(RIGHT(contract!A85,2),psegm!A:A,0))&amp;" - "&amp;IF(MID(A85,2,2)="CA","Cash Advance",IF(MID(A85,2,2)="OC","OCT",IF(MID(A85,2,2)="PC","PWCB",IF(MID(A85,2,2)="RF","Refund"))))</f>
        <v>Keyfuels - OCT</v>
      </c>
      <c r="L85">
        <v>812</v>
      </c>
      <c r="M85">
        <v>382</v>
      </c>
      <c r="N85" t="str">
        <f t="shared" si="2"/>
        <v>INSERT INTO [dbo].[Contracts] ([Id], [ChargeCodes], [PPI], [PPC], [MerchanID], [Descriptions]) VALUES (812, 'AOCKF', '2', '0.01567', 'Auchan', 'Keyfuels - OCT')</v>
      </c>
      <c r="O85" t="str">
        <f t="shared" si="3"/>
        <v>INSERT INTO [dbo].[Contracts] ([Id], [M1ChargeCodes], [M1PPI], [M1PPC], [M1MerchanID]) VALUES (382, 'AOCKF', '2', '0.01567', 'MERCH00002')</v>
      </c>
    </row>
    <row r="86" spans="1:15" hidden="1" x14ac:dyDescent="0.3">
      <c r="A86" s="38" t="s">
        <v>711</v>
      </c>
      <c r="B86" s="38">
        <v>2</v>
      </c>
      <c r="C86" s="41">
        <v>1.567E-2</v>
      </c>
      <c r="D86" s="38" t="s">
        <v>765</v>
      </c>
      <c r="E86" s="37"/>
      <c r="F86" s="38" t="s">
        <v>711</v>
      </c>
      <c r="G86" s="38">
        <v>2</v>
      </c>
      <c r="H86" s="41">
        <v>1.567E-2</v>
      </c>
      <c r="I86" t="s">
        <v>762</v>
      </c>
      <c r="J86" s="38" t="s">
        <v>958</v>
      </c>
      <c r="K86" t="str">
        <f>INDEX(psegm!B:B,MATCH(RIGHT(contract!A86,5),psegm!A:A,0))&amp;" - "&amp;IF(MID(A86,2,2)="CA","Cash Advance",IF(MID(A86,2,2)="OC","OCT",IF(MID(A86,2,2)="PC","PWCB",IF(MID(A86,2,2)="RF","Refund"))))</f>
        <v>Sears - OCT</v>
      </c>
      <c r="L86">
        <v>813</v>
      </c>
      <c r="M86">
        <v>383</v>
      </c>
      <c r="N86" t="str">
        <f t="shared" si="2"/>
        <v>INSERT INTO [dbo].[Contracts] ([Id], [ChargeCodes], [PPI], [PPC], [MerchanID], [Descriptions]) VALUES (813, 'AOCSTARS', '2', '0.01567', 'Auchan', 'Sears - OCT')</v>
      </c>
      <c r="O86" t="str">
        <f t="shared" si="3"/>
        <v>INSERT INTO [dbo].[Contracts] ([Id], [M1ChargeCodes], [M1PPI], [M1PPC], [M1MerchanID]) VALUES (383, 'AOCSTARS', '2', '0.01567', 'MERCH00002')</v>
      </c>
    </row>
    <row r="87" spans="1:15" hidden="1" x14ac:dyDescent="0.3">
      <c r="A87" s="38" t="s">
        <v>640</v>
      </c>
      <c r="B87" s="38">
        <v>2.02</v>
      </c>
      <c r="C87" s="41">
        <v>1.567E-2</v>
      </c>
      <c r="D87" s="38" t="s">
        <v>765</v>
      </c>
      <c r="E87" s="37"/>
      <c r="F87" s="38" t="s">
        <v>640</v>
      </c>
      <c r="G87" s="38">
        <v>2.02</v>
      </c>
      <c r="H87" s="41">
        <v>1.567E-2</v>
      </c>
      <c r="I87" t="s">
        <v>762</v>
      </c>
      <c r="J87" s="38" t="s">
        <v>959</v>
      </c>
      <c r="K87" t="str">
        <f>INDEX(psegm!B:B,MATCH(RIGHT(contract!A87,4),psegm!A:A,0))&amp;" - "&amp;IF(MID(A87,2,2)="CA","Cash Advance",IF(MID(A87,2,2)="OC","OCT",IF(MID(A87,2,2)="PC","PWCB",IF(MID(A87,2,2)="RF","Refund"))))</f>
        <v>MasterCard Cr Per - PWCB</v>
      </c>
      <c r="L87">
        <v>814</v>
      </c>
      <c r="M87">
        <v>384</v>
      </c>
      <c r="N87" t="str">
        <f t="shared" si="2"/>
        <v>INSERT INTO [dbo].[Contracts] ([Id], [ChargeCodes], [PPI], [PPC], [MerchanID], [Descriptions]) VALUES (814, 'APCMCC1', '2.02', '0.01567', 'Auchan', 'MasterCard Cr Per - PWCB')</v>
      </c>
      <c r="O87" t="str">
        <f t="shared" si="3"/>
        <v>INSERT INTO [dbo].[Contracts] ([Id], [M1ChargeCodes], [M1PPI], [M1PPC], [M1MerchanID]) VALUES (384, 'APCMCC1', '2.02', '0.01567', 'MERCH00002')</v>
      </c>
    </row>
    <row r="88" spans="1:15" hidden="1" x14ac:dyDescent="0.3">
      <c r="A88" s="38" t="s">
        <v>641</v>
      </c>
      <c r="B88" s="38">
        <v>2.02</v>
      </c>
      <c r="C88" s="41">
        <v>1.567E-2</v>
      </c>
      <c r="D88" s="38" t="s">
        <v>765</v>
      </c>
      <c r="E88" s="37"/>
      <c r="F88" s="38" t="s">
        <v>641</v>
      </c>
      <c r="G88" s="38">
        <v>2.02</v>
      </c>
      <c r="H88" s="41">
        <v>1.567E-2</v>
      </c>
      <c r="I88" t="s">
        <v>762</v>
      </c>
      <c r="J88" s="38" t="s">
        <v>960</v>
      </c>
      <c r="K88" t="str">
        <f>INDEX(psegm!B:B,MATCH(RIGHT(contract!A88,4),psegm!A:A,0))&amp;" - "&amp;IF(MID(A88,2,2)="CA","Cash Advance",IF(MID(A88,2,2)="OC","OCT",IF(MID(A88,2,2)="PC","PWCB",IF(MID(A88,2,2)="RF","Refund"))))</f>
        <v>MasterCard Business - PWCB</v>
      </c>
      <c r="L88">
        <v>815</v>
      </c>
      <c r="M88">
        <v>385</v>
      </c>
      <c r="N88" t="str">
        <f t="shared" si="2"/>
        <v>INSERT INTO [dbo].[Contracts] ([Id], [ChargeCodes], [PPI], [PPC], [MerchanID], [Descriptions]) VALUES (815, 'APCMCC2', '2.02', '0.01567', 'Auchan', 'MasterCard Business - PWCB')</v>
      </c>
      <c r="O88" t="str">
        <f t="shared" si="3"/>
        <v>INSERT INTO [dbo].[Contracts] ([Id], [M1ChargeCodes], [M1PPI], [M1PPC], [M1MerchanID]) VALUES (385, 'APCMCC2', '2.02', '0.01567', 'MERCH00002')</v>
      </c>
    </row>
    <row r="89" spans="1:15" hidden="1" x14ac:dyDescent="0.3">
      <c r="A89" s="38" t="s">
        <v>159</v>
      </c>
      <c r="B89" s="38">
        <v>2.02</v>
      </c>
      <c r="C89" s="41">
        <v>1.567E-2</v>
      </c>
      <c r="D89" s="38" t="s">
        <v>765</v>
      </c>
      <c r="E89" s="37"/>
      <c r="F89" s="38" t="s">
        <v>159</v>
      </c>
      <c r="G89" s="38">
        <v>2.02</v>
      </c>
      <c r="H89" s="41">
        <v>1.567E-2</v>
      </c>
      <c r="I89" t="s">
        <v>762</v>
      </c>
      <c r="J89" s="38" t="s">
        <v>961</v>
      </c>
      <c r="K89" t="str">
        <f>INDEX(psegm!B:B,MATCH(RIGHT(contract!A89,4),psegm!A:A,0))&amp;" - "&amp;IF(MID(A89,2,2)="CA","Cash Advance",IF(MID(A89,2,2)="OC","OCT",IF(MID(A89,2,2)="PC","PWCB",IF(MID(A89,2,2)="RF","Refund"))))</f>
        <v>MasterCard Fleet - PWCB</v>
      </c>
      <c r="L89">
        <v>816</v>
      </c>
      <c r="M89">
        <v>386</v>
      </c>
      <c r="N89" t="str">
        <f t="shared" si="2"/>
        <v>INSERT INTO [dbo].[Contracts] ([Id], [ChargeCodes], [PPI], [PPC], [MerchanID], [Descriptions]) VALUES (816, 'APCMCC3', '2.02', '0.01567', 'Auchan', 'MasterCard Fleet - PWCB')</v>
      </c>
      <c r="O89" t="str">
        <f t="shared" si="3"/>
        <v>INSERT INTO [dbo].[Contracts] ([Id], [M1ChargeCodes], [M1PPI], [M1PPC], [M1MerchanID]) VALUES (386, 'APCMCC3', '2.02', '0.01567', 'MERCH00002')</v>
      </c>
    </row>
    <row r="90" spans="1:15" hidden="1" x14ac:dyDescent="0.3">
      <c r="A90" s="38" t="s">
        <v>642</v>
      </c>
      <c r="B90" s="38">
        <v>2.02</v>
      </c>
      <c r="C90" s="41">
        <v>1.567E-2</v>
      </c>
      <c r="D90" s="38" t="s">
        <v>765</v>
      </c>
      <c r="E90" s="37"/>
      <c r="F90" s="38" t="s">
        <v>642</v>
      </c>
      <c r="G90" s="38">
        <v>2.02</v>
      </c>
      <c r="H90" s="41">
        <v>1.567E-2</v>
      </c>
      <c r="I90" t="s">
        <v>762</v>
      </c>
      <c r="J90" s="38" t="s">
        <v>962</v>
      </c>
      <c r="K90" t="str">
        <f>INDEX(psegm!B:B,MATCH(RIGHT(contract!A90,4),psegm!A:A,0))&amp;" - "&amp;IF(MID(A90,2,2)="CA","Cash Advance",IF(MID(A90,2,2)="OC","OCT",IF(MID(A90,2,2)="PC","PWCB",IF(MID(A90,2,2)="RF","Refund"))))</f>
        <v>MasterCard Corporate - PWCB</v>
      </c>
      <c r="L90">
        <v>817</v>
      </c>
      <c r="M90">
        <v>387</v>
      </c>
      <c r="N90" t="str">
        <f t="shared" si="2"/>
        <v>INSERT INTO [dbo].[Contracts] ([Id], [ChargeCodes], [PPI], [PPC], [MerchanID], [Descriptions]) VALUES (817, 'APCMCC4', '2.02', '0.01567', 'Auchan', 'MasterCard Corporate - PWCB')</v>
      </c>
      <c r="O90" t="str">
        <f t="shared" si="3"/>
        <v>INSERT INTO [dbo].[Contracts] ([Id], [M1ChargeCodes], [M1PPI], [M1PPC], [M1MerchanID]) VALUES (387, 'APCMCC4', '2.02', '0.01567', 'MERCH00002')</v>
      </c>
    </row>
    <row r="91" spans="1:15" hidden="1" x14ac:dyDescent="0.3">
      <c r="A91" s="38" t="s">
        <v>643</v>
      </c>
      <c r="B91" s="38">
        <v>2.02</v>
      </c>
      <c r="C91" s="41">
        <v>1.567E-2</v>
      </c>
      <c r="D91" s="38" t="s">
        <v>765</v>
      </c>
      <c r="E91" s="37"/>
      <c r="F91" s="38" t="s">
        <v>643</v>
      </c>
      <c r="G91" s="38">
        <v>2.02</v>
      </c>
      <c r="H91" s="41">
        <v>1.567E-2</v>
      </c>
      <c r="I91" t="s">
        <v>762</v>
      </c>
      <c r="J91" s="38" t="s">
        <v>963</v>
      </c>
      <c r="K91" t="str">
        <f>INDEX(psegm!B:B,MATCH(RIGHT(contract!A91,4),psegm!A:A,0))&amp;" - "&amp;IF(MID(A91,2,2)="CA","Cash Advance",IF(MID(A91,2,2)="OC","OCT",IF(MID(A91,2,2)="PC","PWCB",IF(MID(A91,2,2)="RF","Refund"))))</f>
        <v>MasterCard Purchase - PWCB</v>
      </c>
      <c r="L91">
        <v>818</v>
      </c>
      <c r="M91">
        <v>388</v>
      </c>
      <c r="N91" t="str">
        <f t="shared" si="2"/>
        <v>INSERT INTO [dbo].[Contracts] ([Id], [ChargeCodes], [PPI], [PPC], [MerchanID], [Descriptions]) VALUES (818, 'APCMCC5', '2.02', '0.01567', 'Auchan', 'MasterCard Purchase - PWCB')</v>
      </c>
      <c r="O91" t="str">
        <f t="shared" si="3"/>
        <v>INSERT INTO [dbo].[Contracts] ([Id], [M1ChargeCodes], [M1PPI], [M1PPC], [M1MerchanID]) VALUES (388, 'APCMCC5', '2.02', '0.01567', 'MERCH00002')</v>
      </c>
    </row>
    <row r="92" spans="1:15" hidden="1" x14ac:dyDescent="0.3">
      <c r="A92" s="38" t="s">
        <v>644</v>
      </c>
      <c r="B92" s="38">
        <v>2.02</v>
      </c>
      <c r="C92" s="41">
        <v>1.567E-2</v>
      </c>
      <c r="D92" s="38" t="s">
        <v>765</v>
      </c>
      <c r="E92" s="37"/>
      <c r="F92" s="38" t="s">
        <v>644</v>
      </c>
      <c r="G92" s="38">
        <v>2.02</v>
      </c>
      <c r="H92" s="41">
        <v>1.567E-2</v>
      </c>
      <c r="I92" t="s">
        <v>762</v>
      </c>
      <c r="J92" s="38" t="s">
        <v>964</v>
      </c>
      <c r="K92" t="str">
        <f>INDEX(psegm!B:B,MATCH(RIGHT(contract!A92,4),psegm!A:A,0))&amp;" - "&amp;IF(MID(A92,2,2)="CA","Cash Advance",IF(MID(A92,2,2)="OC","OCT",IF(MID(A92,2,2)="PC","PWCB",IF(MID(A92,2,2)="RF","Refund"))))</f>
        <v>MasterCard Signia - PWCB</v>
      </c>
      <c r="L92">
        <v>819</v>
      </c>
      <c r="M92">
        <v>389</v>
      </c>
      <c r="N92" t="str">
        <f t="shared" si="2"/>
        <v>INSERT INTO [dbo].[Contracts] ([Id], [ChargeCodes], [PPI], [PPC], [MerchanID], [Descriptions]) VALUES (819, 'APCMCC6', '2.02', '0.01567', 'Auchan', 'MasterCard Signia - PWCB')</v>
      </c>
      <c r="O92" t="str">
        <f t="shared" si="3"/>
        <v>INSERT INTO [dbo].[Contracts] ([Id], [M1ChargeCodes], [M1PPI], [M1PPC], [M1MerchanID]) VALUES (389, 'APCMCC6', '2.02', '0.01567', 'MERCH00002')</v>
      </c>
    </row>
    <row r="93" spans="1:15" hidden="1" x14ac:dyDescent="0.3">
      <c r="A93" s="38" t="s">
        <v>647</v>
      </c>
      <c r="B93" s="38">
        <v>2.02</v>
      </c>
      <c r="C93" s="41">
        <v>1.567E-2</v>
      </c>
      <c r="D93" s="38" t="s">
        <v>765</v>
      </c>
      <c r="E93" s="37"/>
      <c r="F93" s="38" t="s">
        <v>647</v>
      </c>
      <c r="G93" s="38">
        <v>2.02</v>
      </c>
      <c r="H93" s="41">
        <v>1.567E-2</v>
      </c>
      <c r="I93" t="s">
        <v>762</v>
      </c>
      <c r="J93" s="38" t="s">
        <v>965</v>
      </c>
      <c r="K93" t="str">
        <f>INDEX(psegm!B:B,MATCH(RIGHT(contract!A93,4),psegm!A:A,0))&amp;" - "&amp;IF(MID(A93,2,2)="CA","Cash Advance",IF(MID(A93,2,2)="OC","OCT",IF(MID(A93,2,2)="PC","PWCB",IF(MID(A93,2,2)="RF","Refund"))))</f>
        <v>MasterCard World - PWCB</v>
      </c>
      <c r="L93">
        <v>820</v>
      </c>
      <c r="M93">
        <v>390</v>
      </c>
      <c r="N93" t="str">
        <f t="shared" si="2"/>
        <v>INSERT INTO [dbo].[Contracts] ([Id], [ChargeCodes], [PPI], [PPC], [MerchanID], [Descriptions]) VALUES (820, 'APCMCC7', '2.02', '0.01567', 'Auchan', 'MasterCard World - PWCB')</v>
      </c>
      <c r="O93" t="str">
        <f t="shared" si="3"/>
        <v>INSERT INTO [dbo].[Contracts] ([Id], [M1ChargeCodes], [M1PPI], [M1PPC], [M1MerchanID]) VALUES (390, 'APCMCC7', '2.02', '0.01567', 'MERCH00002')</v>
      </c>
    </row>
    <row r="94" spans="1:15" hidden="1" x14ac:dyDescent="0.3">
      <c r="A94" s="38" t="s">
        <v>712</v>
      </c>
      <c r="B94" s="38">
        <v>2.02</v>
      </c>
      <c r="C94" s="41">
        <v>1.567E-2</v>
      </c>
      <c r="D94" s="38" t="s">
        <v>765</v>
      </c>
      <c r="E94" s="37"/>
      <c r="F94" s="38" t="s">
        <v>712</v>
      </c>
      <c r="G94" s="38">
        <v>2.02</v>
      </c>
      <c r="H94" s="41">
        <v>1.567E-2</v>
      </c>
      <c r="I94" t="s">
        <v>762</v>
      </c>
      <c r="J94" s="38" t="s">
        <v>966</v>
      </c>
      <c r="K94" t="str">
        <f>INDEX(psegm!B:B,MATCH(RIGHT(contract!A94,4),psegm!A:A,0))&amp;" - "&amp;IF(MID(A94,2,2)="CA","Cash Advance",IF(MID(A94,2,2)="OC","OCT",IF(MID(A94,2,2)="PC","PWCB",IF(MID(A94,2,2)="RF","Refund"))))</f>
        <v>MasterCard Comm - PWCB</v>
      </c>
      <c r="L94">
        <v>821</v>
      </c>
      <c r="M94">
        <v>391</v>
      </c>
      <c r="N94" t="str">
        <f t="shared" si="2"/>
        <v>INSERT INTO [dbo].[Contracts] ([Id], [ChargeCodes], [PPI], [PPC], [MerchanID], [Descriptions]) VALUES (821, 'APCMCC8', '2.02', '0.01567', 'Auchan', 'MasterCard Comm - PWCB')</v>
      </c>
      <c r="O94" t="str">
        <f t="shared" si="3"/>
        <v>INSERT INTO [dbo].[Contracts] ([Id], [M1ChargeCodes], [M1PPI], [M1PPC], [M1MerchanID]) VALUES (391, 'APCMCC8', '2.02', '0.01567', 'MERCH00002')</v>
      </c>
    </row>
    <row r="95" spans="1:15" hidden="1" x14ac:dyDescent="0.3">
      <c r="A95" s="38" t="s">
        <v>713</v>
      </c>
      <c r="B95" s="38">
        <v>2.02</v>
      </c>
      <c r="C95" s="41">
        <v>1.567E-2</v>
      </c>
      <c r="D95" s="38" t="s">
        <v>765</v>
      </c>
      <c r="E95" s="37"/>
      <c r="F95" s="38" t="s">
        <v>713</v>
      </c>
      <c r="G95" s="38">
        <v>2.02</v>
      </c>
      <c r="H95" s="41">
        <v>1.567E-2</v>
      </c>
      <c r="I95" t="s">
        <v>762</v>
      </c>
      <c r="J95" s="38" t="s">
        <v>959</v>
      </c>
      <c r="K95" t="str">
        <f>INDEX(psegm!B:B,MATCH(RIGHT(contract!A95,4),psegm!A:A,0))&amp;" - "&amp;IF(MID(A95,2,2)="CA","Cash Advance",IF(MID(A95,2,2)="OC","OCT",IF(MID(A95,2,2)="PC","PWCB",IF(MID(A95,2,2)="RF","Refund"))))</f>
        <v>MasterCard Cr Per - PWCB</v>
      </c>
      <c r="L95">
        <v>822</v>
      </c>
      <c r="M95">
        <v>392</v>
      </c>
      <c r="N95" t="str">
        <f t="shared" si="2"/>
        <v>INSERT INTO [dbo].[Contracts] ([Id], [ChargeCodes], [PPI], [PPC], [MerchanID], [Descriptions]) VALUES (822, 'APCMCC9', '2.02', '0.01567', 'Auchan', 'MasterCard Cr Per - PWCB')</v>
      </c>
      <c r="O95" t="str">
        <f t="shared" si="3"/>
        <v>INSERT INTO [dbo].[Contracts] ([Id], [M1ChargeCodes], [M1PPI], [M1PPC], [M1MerchanID]) VALUES (392, 'APCMCC9', '2.02', '0.01567', 'MERCH00002')</v>
      </c>
    </row>
    <row r="96" spans="1:15" hidden="1" x14ac:dyDescent="0.3">
      <c r="A96" s="38" t="s">
        <v>645</v>
      </c>
      <c r="B96" s="38">
        <v>2.02</v>
      </c>
      <c r="C96" s="41">
        <v>1.567E-2</v>
      </c>
      <c r="D96" s="38" t="s">
        <v>765</v>
      </c>
      <c r="E96" s="37"/>
      <c r="F96" s="38" t="s">
        <v>645</v>
      </c>
      <c r="G96" s="38">
        <v>2.02</v>
      </c>
      <c r="H96" s="41">
        <v>1.567E-2</v>
      </c>
      <c r="I96" t="s">
        <v>762</v>
      </c>
      <c r="J96" s="38" t="s">
        <v>967</v>
      </c>
      <c r="K96" t="str">
        <f>INDEX(psegm!B:B,MATCH(RIGHT(contract!A96,4),psegm!A:A,0))&amp;" - "&amp;IF(MID(A96,2,2)="CA","Cash Advance",IF(MID(A96,2,2)="OC","OCT",IF(MID(A96,2,2)="PC","PWCB",IF(MID(A96,2,2)="RF","Refund"))))</f>
        <v>MasterCardDr Com Int - PWCB</v>
      </c>
      <c r="L96">
        <v>823</v>
      </c>
      <c r="M96">
        <v>393</v>
      </c>
      <c r="N96" t="str">
        <f t="shared" si="2"/>
        <v>INSERT INTO [dbo].[Contracts] ([Id], [ChargeCodes], [PPI], [PPC], [MerchanID], [Descriptions]) VALUES (823, 'APCMCD1', '2.02', '0.01567', 'Auchan', 'MasterCardDr Com Int - PWCB')</v>
      </c>
      <c r="O96" t="str">
        <f t="shared" si="3"/>
        <v>INSERT INTO [dbo].[Contracts] ([Id], [M1ChargeCodes], [M1PPI], [M1PPC], [M1MerchanID]) VALUES (393, 'APCMCD1', '2.02', '0.01567', 'MERCH00002')</v>
      </c>
    </row>
    <row r="97" spans="1:15" hidden="1" x14ac:dyDescent="0.3">
      <c r="A97" s="38" t="s">
        <v>646</v>
      </c>
      <c r="B97" s="38">
        <v>2.02</v>
      </c>
      <c r="C97" s="41">
        <v>1.567E-2</v>
      </c>
      <c r="D97" s="38" t="s">
        <v>765</v>
      </c>
      <c r="E97" s="37"/>
      <c r="F97" s="38" t="s">
        <v>646</v>
      </c>
      <c r="G97" s="38">
        <v>2.02</v>
      </c>
      <c r="H97" s="41">
        <v>1.567E-2</v>
      </c>
      <c r="I97" t="s">
        <v>762</v>
      </c>
      <c r="J97" s="38" t="s">
        <v>968</v>
      </c>
      <c r="K97" t="str">
        <f>INDEX(psegm!B:B,MATCH(RIGHT(contract!A97,4),psegm!A:A,0))&amp;" - "&amp;IF(MID(A97,2,2)="CA","Cash Advance",IF(MID(A97,2,2)="OC","OCT",IF(MID(A97,2,2)="PC","PWCB",IF(MID(A97,2,2)="RF","Refund"))))</f>
        <v>MasterCardDr Per Int - PWCB</v>
      </c>
      <c r="L97">
        <v>824</v>
      </c>
      <c r="M97">
        <v>394</v>
      </c>
      <c r="N97" t="str">
        <f t="shared" si="2"/>
        <v>INSERT INTO [dbo].[Contracts] ([Id], [ChargeCodes], [PPI], [PPC], [MerchanID], [Descriptions]) VALUES (824, 'APCMCD2', '2.02', '0.01567', 'Auchan', 'MasterCardDr Per Int - PWCB')</v>
      </c>
      <c r="O97" t="str">
        <f t="shared" si="3"/>
        <v>INSERT INTO [dbo].[Contracts] ([Id], [M1ChargeCodes], [M1PPI], [M1PPC], [M1MerchanID]) VALUES (394, 'APCMCD2', '2.02', '0.01567', 'MERCH00002')</v>
      </c>
    </row>
    <row r="98" spans="1:15" hidden="1" x14ac:dyDescent="0.3">
      <c r="A98" s="38" t="s">
        <v>655</v>
      </c>
      <c r="B98" s="38">
        <v>2.02</v>
      </c>
      <c r="C98" s="41">
        <v>1.567E-2</v>
      </c>
      <c r="D98" s="38" t="s">
        <v>765</v>
      </c>
      <c r="E98" s="37"/>
      <c r="F98" s="38" t="s">
        <v>655</v>
      </c>
      <c r="G98" s="38">
        <v>2.02</v>
      </c>
      <c r="H98" s="41">
        <v>1.567E-2</v>
      </c>
      <c r="I98" t="s">
        <v>762</v>
      </c>
      <c r="J98" s="38" t="s">
        <v>969</v>
      </c>
      <c r="K98" t="str">
        <f>INDEX(psegm!B:B,MATCH(RIGHT(contract!A98,4),psegm!A:A,0))&amp;" - "&amp;IF(MID(A98,2,2)="CA","Cash Advance",IF(MID(A98,2,2)="OC","OCT",IF(MID(A98,2,2)="PC","PWCB",IF(MID(A98,2,2)="RF","Refund"))))</f>
        <v>Dr MasterCard EEA - PWCB</v>
      </c>
      <c r="L98">
        <v>825</v>
      </c>
      <c r="M98">
        <v>395</v>
      </c>
      <c r="N98" t="str">
        <f t="shared" si="2"/>
        <v>INSERT INTO [dbo].[Contracts] ([Id], [ChargeCodes], [PPI], [PPC], [MerchanID], [Descriptions]) VALUES (825, 'APCMCD3', '2.02', '0.01567', 'Auchan', 'Dr MasterCard EEA - PWCB')</v>
      </c>
      <c r="O98" t="str">
        <f t="shared" si="3"/>
        <v>INSERT INTO [dbo].[Contracts] ([Id], [M1ChargeCodes], [M1PPI], [M1PPC], [M1MerchanID]) VALUES (395, 'APCMCD3', '2.02', '0.01567', 'MERCH00002')</v>
      </c>
    </row>
    <row r="99" spans="1:15" hidden="1" x14ac:dyDescent="0.3">
      <c r="A99" s="38" t="s">
        <v>714</v>
      </c>
      <c r="B99" s="38">
        <v>2.02</v>
      </c>
      <c r="C99" s="41">
        <v>1.567E-2</v>
      </c>
      <c r="D99" s="38" t="s">
        <v>765</v>
      </c>
      <c r="E99" s="37"/>
      <c r="F99" s="38" t="s">
        <v>714</v>
      </c>
      <c r="G99" s="38">
        <v>2.02</v>
      </c>
      <c r="H99" s="41">
        <v>1.567E-2</v>
      </c>
      <c r="I99" t="s">
        <v>762</v>
      </c>
      <c r="J99" s="38" t="s">
        <v>970</v>
      </c>
      <c r="K99" t="str">
        <f>INDEX(psegm!B:B,MATCH(RIGHT(contract!A99,4),psegm!A:A,0))&amp;" - "&amp;IF(MID(A99,2,2)="CA","Cash Advance",IF(MID(A99,2,2)="OC","OCT",IF(MID(A99,2,2)="PC","PWCB",IF(MID(A99,2,2)="RF","Refund"))))</f>
        <v>Debit MasterCard Per Int - PWCB</v>
      </c>
      <c r="L99">
        <v>826</v>
      </c>
      <c r="M99">
        <v>396</v>
      </c>
      <c r="N99" t="str">
        <f t="shared" si="2"/>
        <v>INSERT INTO [dbo].[Contracts] ([Id], [ChargeCodes], [PPI], [PPC], [MerchanID], [Descriptions]) VALUES (826, 'APCMCD4', '2.02', '0.01567', 'Auchan', 'Debit MasterCard Per Int - PWCB')</v>
      </c>
      <c r="O99" t="str">
        <f t="shared" si="3"/>
        <v>INSERT INTO [dbo].[Contracts] ([Id], [M1ChargeCodes], [M1PPI], [M1PPC], [M1MerchanID]) VALUES (396, 'APCMCD4', '2.02', '0.01567', 'MERCH00002')</v>
      </c>
    </row>
    <row r="100" spans="1:15" hidden="1" x14ac:dyDescent="0.3">
      <c r="A100" s="38" t="s">
        <v>715</v>
      </c>
      <c r="B100" s="38">
        <v>2.02</v>
      </c>
      <c r="C100" s="41">
        <v>1.567E-2</v>
      </c>
      <c r="D100" s="38" t="s">
        <v>765</v>
      </c>
      <c r="E100" s="37"/>
      <c r="F100" s="38" t="s">
        <v>715</v>
      </c>
      <c r="G100" s="38">
        <v>2.02</v>
      </c>
      <c r="H100" s="41">
        <v>1.567E-2</v>
      </c>
      <c r="I100" t="s">
        <v>762</v>
      </c>
      <c r="J100" s="38" t="s">
        <v>971</v>
      </c>
      <c r="K100" t="str">
        <f>INDEX(psegm!B:B,MATCH(RIGHT(contract!A100,4),psegm!A:A,0))&amp;" - "&amp;IF(MID(A100,2,2)="CA","Cash Advance",IF(MID(A100,2,2)="OC","OCT",IF(MID(A100,2,2)="PC","PWCB",IF(MID(A100,2,2)="RF","Refund"))))</f>
        <v>Debit MasterCard Com Int - PWCB</v>
      </c>
      <c r="L100">
        <v>827</v>
      </c>
      <c r="M100">
        <v>397</v>
      </c>
      <c r="N100" t="str">
        <f t="shared" si="2"/>
        <v>INSERT INTO [dbo].[Contracts] ([Id], [ChargeCodes], [PPI], [PPC], [MerchanID], [Descriptions]) VALUES (827, 'APCMCD5', '2.02', '0.01567', 'Auchan', 'Debit MasterCard Com Int - PWCB')</v>
      </c>
      <c r="O100" t="str">
        <f t="shared" si="3"/>
        <v>INSERT INTO [dbo].[Contracts] ([Id], [M1ChargeCodes], [M1PPI], [M1PPC], [M1MerchanID]) VALUES (397, 'APCMCD5', '2.02', '0.01567', 'MERCH00002')</v>
      </c>
    </row>
    <row r="101" spans="1:15" hidden="1" x14ac:dyDescent="0.3">
      <c r="A101" s="38" t="s">
        <v>716</v>
      </c>
      <c r="B101" s="38">
        <v>2.02</v>
      </c>
      <c r="C101" s="41">
        <v>1.567E-2</v>
      </c>
      <c r="D101" s="38" t="s">
        <v>765</v>
      </c>
      <c r="E101" s="37"/>
      <c r="F101" s="38" t="s">
        <v>716</v>
      </c>
      <c r="G101" s="38">
        <v>2.02</v>
      </c>
      <c r="H101" s="41">
        <v>1.567E-2</v>
      </c>
      <c r="I101" t="s">
        <v>762</v>
      </c>
      <c r="J101" s="38" t="s">
        <v>972</v>
      </c>
      <c r="K101" t="str">
        <f>INDEX(psegm!B:B,MATCH(RIGHT(contract!A101,4),psegm!A:A,0))&amp;" - "&amp;IF(MID(A101,2,2)="CA","Cash Advance",IF(MID(A101,2,2)="OC","OCT",IF(MID(A101,2,2)="PC","PWCB",IF(MID(A101,2,2)="RF","Refund"))))</f>
        <v>Maestro UK (DOM) Com - PWCB</v>
      </c>
      <c r="L101">
        <v>828</v>
      </c>
      <c r="M101">
        <v>398</v>
      </c>
      <c r="N101" t="str">
        <f t="shared" si="2"/>
        <v>INSERT INTO [dbo].[Contracts] ([Id], [ChargeCodes], [PPI], [PPC], [MerchanID], [Descriptions]) VALUES (828, 'APCMCD6', '2.02', '0.01567', 'Auchan', 'Maestro UK (DOM) Com - PWCB')</v>
      </c>
      <c r="O101" t="str">
        <f t="shared" si="3"/>
        <v>INSERT INTO [dbo].[Contracts] ([Id], [M1ChargeCodes], [M1PPI], [M1PPC], [M1MerchanID]) VALUES (398, 'APCMCD6', '2.02', '0.01567', 'MERCH00002')</v>
      </c>
    </row>
    <row r="102" spans="1:15" hidden="1" x14ac:dyDescent="0.3">
      <c r="A102" s="38" t="s">
        <v>717</v>
      </c>
      <c r="B102" s="38">
        <v>2.02</v>
      </c>
      <c r="C102" s="41">
        <v>1.567E-2</v>
      </c>
      <c r="D102" s="38" t="s">
        <v>765</v>
      </c>
      <c r="E102" s="37"/>
      <c r="F102" s="38" t="s">
        <v>717</v>
      </c>
      <c r="G102" s="38">
        <v>2.02</v>
      </c>
      <c r="H102" s="41">
        <v>1.567E-2</v>
      </c>
      <c r="I102" t="s">
        <v>762</v>
      </c>
      <c r="J102" s="38" t="s">
        <v>973</v>
      </c>
      <c r="K102" t="str">
        <f>INDEX(psegm!B:B,MATCH(RIGHT(contract!A102,4),psegm!A:A,0))&amp;" - "&amp;IF(MID(A102,2,2)="CA","Cash Advance",IF(MID(A102,2,2)="OC","OCT",IF(MID(A102,2,2)="PC","PWCB",IF(MID(A102,2,2)="RF","Refund"))))</f>
        <v>Maestro Intl Com - PWCB</v>
      </c>
      <c r="L102">
        <v>829</v>
      </c>
      <c r="M102">
        <v>399</v>
      </c>
      <c r="N102" t="str">
        <f t="shared" si="2"/>
        <v>INSERT INTO [dbo].[Contracts] ([Id], [ChargeCodes], [PPI], [PPC], [MerchanID], [Descriptions]) VALUES (829, 'APCMCD7', '2.02', '0.01567', 'Auchan', 'Maestro Intl Com - PWCB')</v>
      </c>
      <c r="O102" t="str">
        <f t="shared" si="3"/>
        <v>INSERT INTO [dbo].[Contracts] ([Id], [M1ChargeCodes], [M1PPI], [M1PPC], [M1MerchanID]) VALUES (399, 'APCMCD7', '2.02', '0.01567', 'MERCH00002')</v>
      </c>
    </row>
    <row r="103" spans="1:15" hidden="1" x14ac:dyDescent="0.3">
      <c r="A103" s="38" t="s">
        <v>656</v>
      </c>
      <c r="B103" s="38">
        <v>2.02</v>
      </c>
      <c r="C103" s="41">
        <v>1.567E-2</v>
      </c>
      <c r="D103" s="38" t="s">
        <v>765</v>
      </c>
      <c r="E103" s="37"/>
      <c r="F103" s="38" t="s">
        <v>656</v>
      </c>
      <c r="G103" s="38">
        <v>2.02</v>
      </c>
      <c r="H103" s="41">
        <v>1.567E-2</v>
      </c>
      <c r="I103" t="s">
        <v>762</v>
      </c>
      <c r="J103" s="38" t="s">
        <v>974</v>
      </c>
      <c r="K103" t="str">
        <f>INDEX(psegm!B:B,MATCH(RIGHT(contract!A103,4),psegm!A:A,0))&amp;" - "&amp;IF(MID(A103,2,2)="CA","Cash Advance",IF(MID(A103,2,2)="OC","OCT",IF(MID(A103,2,2)="PC","PWCB",IF(MID(A103,2,2)="RF","Refund"))))</f>
        <v>Maestro UK (DOM) Per - PWCB</v>
      </c>
      <c r="L103">
        <v>830</v>
      </c>
      <c r="M103">
        <v>400</v>
      </c>
      <c r="N103" t="str">
        <f t="shared" si="2"/>
        <v>INSERT INTO [dbo].[Contracts] ([Id], [ChargeCodes], [PPI], [PPC], [MerchanID], [Descriptions]) VALUES (830, 'APCMCD8', '2.02', '0.01567', 'Auchan', 'Maestro UK (DOM) Per - PWCB')</v>
      </c>
      <c r="O103" t="str">
        <f t="shared" si="3"/>
        <v>INSERT INTO [dbo].[Contracts] ([Id], [M1ChargeCodes], [M1PPI], [M1PPC], [M1MerchanID]) VALUES (400, 'APCMCD8', '2.02', '0.01567', 'MERCH00002')</v>
      </c>
    </row>
    <row r="104" spans="1:15" hidden="1" x14ac:dyDescent="0.3">
      <c r="A104" s="38" t="s">
        <v>718</v>
      </c>
      <c r="B104" s="38">
        <v>2.02</v>
      </c>
      <c r="C104" s="41">
        <v>1.567E-2</v>
      </c>
      <c r="D104" s="38" t="s">
        <v>765</v>
      </c>
      <c r="E104" s="37"/>
      <c r="F104" s="38" t="s">
        <v>718</v>
      </c>
      <c r="G104" s="38">
        <v>2.02</v>
      </c>
      <c r="H104" s="41">
        <v>1.567E-2</v>
      </c>
      <c r="I104" t="s">
        <v>762</v>
      </c>
      <c r="J104" s="38" t="s">
        <v>975</v>
      </c>
      <c r="K104" t="str">
        <f>INDEX(psegm!B:B,MATCH(RIGHT(contract!A104,4),psegm!A:A,0))&amp;" - "&amp;IF(MID(A104,2,2)="CA","Cash Advance",IF(MID(A104,2,2)="OC","OCT",IF(MID(A104,2,2)="PC","PWCB",IF(MID(A104,2,2)="RF","Refund"))))</f>
        <v>Maestro Intl Per - PWCB</v>
      </c>
      <c r="L104">
        <v>831</v>
      </c>
      <c r="M104">
        <v>401</v>
      </c>
      <c r="N104" t="str">
        <f t="shared" si="2"/>
        <v>INSERT INTO [dbo].[Contracts] ([Id], [ChargeCodes], [PPI], [PPC], [MerchanID], [Descriptions]) VALUES (831, 'APCMCD9', '2.02', '0.01567', 'Auchan', 'Maestro Intl Per - PWCB')</v>
      </c>
      <c r="O104" t="str">
        <f t="shared" si="3"/>
        <v>INSERT INTO [dbo].[Contracts] ([Id], [M1ChargeCodes], [M1PPI], [M1PPC], [M1MerchanID]) VALUES (401, 'APCMCD9', '2.02', '0.01567', 'MERCH00002')</v>
      </c>
    </row>
    <row r="105" spans="1:15" hidden="1" x14ac:dyDescent="0.3">
      <c r="A105" s="38" t="s">
        <v>719</v>
      </c>
      <c r="B105" s="38">
        <v>2.02</v>
      </c>
      <c r="C105" s="41">
        <v>1.567E-2</v>
      </c>
      <c r="D105" s="38" t="s">
        <v>765</v>
      </c>
      <c r="E105" s="37"/>
      <c r="F105" s="38" t="s">
        <v>719</v>
      </c>
      <c r="G105" s="38">
        <v>2.02</v>
      </c>
      <c r="H105" s="41">
        <v>1.567E-2</v>
      </c>
      <c r="I105" t="s">
        <v>762</v>
      </c>
      <c r="J105" s="38" t="s">
        <v>971</v>
      </c>
      <c r="K105" t="str">
        <f>INDEX(psegm!B:B,MATCH(RIGHT(contract!A105,5),psegm!A:A,0))&amp;" - "&amp;IF(MID(A105,2,2)="CA","Cash Advance",IF(MID(A105,2,2)="OC","OCT",IF(MID(A105,2,2)="PC","PWCB",IF(MID(A105,2,2)="RF","Refund"))))</f>
        <v>Debit MasterCard Com Int - PWCB</v>
      </c>
      <c r="L105">
        <v>832</v>
      </c>
      <c r="M105">
        <v>402</v>
      </c>
      <c r="N105" t="str">
        <f t="shared" si="2"/>
        <v>INSERT INTO [dbo].[Contracts] ([Id], [ChargeCodes], [PPI], [PPC], [MerchanID], [Descriptions]) VALUES (832, 'APCMCD10', '2.02', '0.01567', 'Auchan', 'Debit MasterCard Com Int - PWCB')</v>
      </c>
      <c r="O105" t="str">
        <f t="shared" si="3"/>
        <v>INSERT INTO [dbo].[Contracts] ([Id], [M1ChargeCodes], [M1PPI], [M1PPC], [M1MerchanID]) VALUES (402, 'APCMCD10', '2.02', '0.01567', 'MERCH00002')</v>
      </c>
    </row>
    <row r="106" spans="1:15" hidden="1" x14ac:dyDescent="0.3">
      <c r="A106" s="38" t="s">
        <v>162</v>
      </c>
      <c r="B106" s="38">
        <v>2.02</v>
      </c>
      <c r="C106" s="41">
        <v>1.567E-2</v>
      </c>
      <c r="D106" s="38" t="s">
        <v>765</v>
      </c>
      <c r="E106" s="37"/>
      <c r="F106" s="38" t="s">
        <v>162</v>
      </c>
      <c r="G106" s="38">
        <v>2.02</v>
      </c>
      <c r="H106" s="41">
        <v>1.567E-2</v>
      </c>
      <c r="I106" t="s">
        <v>762</v>
      </c>
      <c r="J106" s="38" t="s">
        <v>976</v>
      </c>
      <c r="K106" t="str">
        <f>INDEX(psegm!B:B,MATCH(RIGHT(contract!A106,4),psegm!A:A,0))&amp;" - "&amp;IF(MID(A106,2,2)="CA","Cash Advance",IF(MID(A106,2,2)="OC","OCT",IF(MID(A106,2,2)="PC","PWCB",IF(MID(A106,2,2)="RF","Refund"))))</f>
        <v>Visa Elec Credit Personal - PWCB</v>
      </c>
      <c r="L106">
        <v>833</v>
      </c>
      <c r="M106">
        <v>403</v>
      </c>
      <c r="N106" t="str">
        <f t="shared" si="2"/>
        <v>INSERT INTO [dbo].[Contracts] ([Id], [ChargeCodes], [PPI], [PPC], [MerchanID], [Descriptions]) VALUES (833, 'APCVIC1', '2.02', '0.01567', 'Auchan', 'Visa Elec Credit Personal - PWCB')</v>
      </c>
      <c r="O106" t="str">
        <f t="shared" si="3"/>
        <v>INSERT INTO [dbo].[Contracts] ([Id], [M1ChargeCodes], [M1PPI], [M1PPC], [M1MerchanID]) VALUES (403, 'APCVIC1', '2.02', '0.01567', 'MERCH00002')</v>
      </c>
    </row>
    <row r="107" spans="1:15" hidden="1" x14ac:dyDescent="0.3">
      <c r="A107" s="38" t="s">
        <v>648</v>
      </c>
      <c r="B107" s="38">
        <v>2.02</v>
      </c>
      <c r="C107" s="41">
        <v>1.567E-2</v>
      </c>
      <c r="D107" s="38" t="s">
        <v>765</v>
      </c>
      <c r="E107" s="37"/>
      <c r="F107" s="38" t="s">
        <v>648</v>
      </c>
      <c r="G107" s="38">
        <v>2.02</v>
      </c>
      <c r="H107" s="41">
        <v>1.567E-2</v>
      </c>
      <c r="I107" t="s">
        <v>762</v>
      </c>
      <c r="J107" s="38" t="s">
        <v>977</v>
      </c>
      <c r="K107" t="str">
        <f>INDEX(psegm!B:B,MATCH(RIGHT(contract!A107,4),psegm!A:A,0))&amp;" - "&amp;IF(MID(A107,2,2)="CA","Cash Advance",IF(MID(A107,2,2)="OC","OCT",IF(MID(A107,2,2)="PC","PWCB",IF(MID(A107,2,2)="RF","Refund"))))</f>
        <v>Visa Credit Personal - PWCB</v>
      </c>
      <c r="L107">
        <v>834</v>
      </c>
      <c r="M107">
        <v>404</v>
      </c>
      <c r="N107" t="str">
        <f t="shared" si="2"/>
        <v>INSERT INTO [dbo].[Contracts] ([Id], [ChargeCodes], [PPI], [PPC], [MerchanID], [Descriptions]) VALUES (834, 'APCVIC2', '2.02', '0.01567', 'Auchan', 'Visa Credit Personal - PWCB')</v>
      </c>
      <c r="O107" t="str">
        <f t="shared" si="3"/>
        <v>INSERT INTO [dbo].[Contracts] ([Id], [M1ChargeCodes], [M1PPI], [M1PPC], [M1MerchanID]) VALUES (404, 'APCVIC2', '2.02', '0.01567', 'MERCH00002')</v>
      </c>
    </row>
    <row r="108" spans="1:15" x14ac:dyDescent="0.3">
      <c r="A108" s="38" t="s">
        <v>649</v>
      </c>
      <c r="B108" s="38">
        <v>2.02</v>
      </c>
      <c r="C108" s="41">
        <v>1.567E-2</v>
      </c>
      <c r="D108" s="38" t="s">
        <v>765</v>
      </c>
      <c r="E108" s="37"/>
      <c r="F108" s="38" t="s">
        <v>649</v>
      </c>
      <c r="G108" s="38">
        <v>2.02</v>
      </c>
      <c r="H108" s="41">
        <v>1.567E-2</v>
      </c>
      <c r="I108" t="s">
        <v>762</v>
      </c>
      <c r="J108" s="38" t="s">
        <v>978</v>
      </c>
      <c r="K108" t="str">
        <f>INDEX(psegm!B:B,MATCH(RIGHT(contract!A108,4),psegm!A:A,0))&amp;" - "&amp;IF(MID(A108,2,2)="CA","Cash Advance",IF(MID(A108,2,2)="OC","OCT",IF(MID(A108,2,2)="PC","PWCB",IF(MID(A108,2,2)="RF","Refund"))))</f>
        <v>Visa Business - PWCB</v>
      </c>
      <c r="L108">
        <v>835</v>
      </c>
      <c r="M108">
        <v>405</v>
      </c>
      <c r="N108" t="str">
        <f t="shared" si="2"/>
        <v>INSERT INTO [dbo].[Contracts] ([Id], [ChargeCodes], [PPI], [PPC], [MerchanID], [Descriptions]) VALUES (835, 'APCVIC3', '2.02', '0.01567', 'Auchan', 'Visa Business - PWCB')</v>
      </c>
      <c r="O108" t="str">
        <f t="shared" si="3"/>
        <v>INSERT INTO [dbo].[Contracts] ([Id], [M1ChargeCodes], [M1PPI], [M1PPC], [M1MerchanID]) VALUES (405, 'APCVIC3', '2.02', '0.01567', 'MERCH00002')</v>
      </c>
    </row>
    <row r="109" spans="1:15" hidden="1" x14ac:dyDescent="0.3">
      <c r="A109" s="38" t="s">
        <v>650</v>
      </c>
      <c r="B109" s="38">
        <v>2.02</v>
      </c>
      <c r="C109" s="41">
        <v>1.567E-2</v>
      </c>
      <c r="D109" s="38" t="s">
        <v>765</v>
      </c>
      <c r="E109" s="37"/>
      <c r="F109" s="38" t="s">
        <v>650</v>
      </c>
      <c r="G109" s="38">
        <v>2.02</v>
      </c>
      <c r="H109" s="41">
        <v>1.567E-2</v>
      </c>
      <c r="I109" t="s">
        <v>762</v>
      </c>
      <c r="J109" s="38" t="s">
        <v>979</v>
      </c>
      <c r="K109" t="str">
        <f>INDEX(psegm!B:B,MATCH(RIGHT(contract!A109,4),psegm!A:A,0))&amp;" - "&amp;IF(MID(A109,2,2)="CA","Cash Advance",IF(MID(A109,2,2)="OC","OCT",IF(MID(A109,2,2)="PC","PWCB",IF(MID(A109,2,2)="RF","Refund"))))</f>
        <v>Visa Commerce - PWCB</v>
      </c>
      <c r="L109">
        <v>836</v>
      </c>
      <c r="M109">
        <v>406</v>
      </c>
      <c r="N109" t="str">
        <f t="shared" si="2"/>
        <v>INSERT INTO [dbo].[Contracts] ([Id], [ChargeCodes], [PPI], [PPC], [MerchanID], [Descriptions]) VALUES (836, 'APCVIC4', '2.02', '0.01567', 'Auchan', 'Visa Commerce - PWCB')</v>
      </c>
      <c r="O109" t="str">
        <f t="shared" si="3"/>
        <v>INSERT INTO [dbo].[Contracts] ([Id], [M1ChargeCodes], [M1PPI], [M1PPC], [M1MerchanID]) VALUES (406, 'APCVIC4', '2.02', '0.01567', 'MERCH00002')</v>
      </c>
    </row>
    <row r="110" spans="1:15" hidden="1" x14ac:dyDescent="0.3">
      <c r="A110" s="38" t="s">
        <v>651</v>
      </c>
      <c r="B110" s="38">
        <v>2.02</v>
      </c>
      <c r="C110" s="41">
        <v>1.567E-2</v>
      </c>
      <c r="D110" s="38" t="s">
        <v>765</v>
      </c>
      <c r="E110" s="37"/>
      <c r="F110" s="38" t="s">
        <v>651</v>
      </c>
      <c r="G110" s="38">
        <v>2.02</v>
      </c>
      <c r="H110" s="41">
        <v>1.567E-2</v>
      </c>
      <c r="I110" t="s">
        <v>762</v>
      </c>
      <c r="J110" s="38" t="s">
        <v>980</v>
      </c>
      <c r="K110" t="str">
        <f>INDEX(psegm!B:B,MATCH(RIGHT(contract!A110,4),psegm!A:A,0))&amp;" - "&amp;IF(MID(A110,2,2)="CA","Cash Advance",IF(MID(A110,2,2)="OC","OCT",IF(MID(A110,2,2)="PC","PWCB",IF(MID(A110,2,2)="RF","Refund"))))</f>
        <v>Visa Corporate - PWCB</v>
      </c>
      <c r="L110">
        <v>837</v>
      </c>
      <c r="M110">
        <v>407</v>
      </c>
      <c r="N110" t="str">
        <f t="shared" si="2"/>
        <v>INSERT INTO [dbo].[Contracts] ([Id], [ChargeCodes], [PPI], [PPC], [MerchanID], [Descriptions]) VALUES (837, 'APCVIC5', '2.02', '0.01567', 'Auchan', 'Visa Corporate - PWCB')</v>
      </c>
      <c r="O110" t="str">
        <f t="shared" si="3"/>
        <v>INSERT INTO [dbo].[Contracts] ([Id], [M1ChargeCodes], [M1PPI], [M1PPC], [M1MerchanID]) VALUES (407, 'APCVIC5', '2.02', '0.01567', 'MERCH00002')</v>
      </c>
    </row>
    <row r="111" spans="1:15" hidden="1" x14ac:dyDescent="0.3">
      <c r="A111" s="38" t="s">
        <v>652</v>
      </c>
      <c r="B111" s="38">
        <v>2.02</v>
      </c>
      <c r="C111" s="41">
        <v>1.567E-2</v>
      </c>
      <c r="D111" s="38" t="s">
        <v>765</v>
      </c>
      <c r="E111" s="37"/>
      <c r="F111" s="38" t="s">
        <v>652</v>
      </c>
      <c r="G111" s="38">
        <v>2.02</v>
      </c>
      <c r="H111" s="41">
        <v>1.567E-2</v>
      </c>
      <c r="I111" t="s">
        <v>762</v>
      </c>
      <c r="J111" s="38" t="s">
        <v>981</v>
      </c>
      <c r="K111" t="str">
        <f>INDEX(psegm!B:B,MATCH(RIGHT(contract!A111,4),psegm!A:A,0))&amp;" - "&amp;IF(MID(A111,2,2)="CA","Cash Advance",IF(MID(A111,2,2)="OC","OCT",IF(MID(A111,2,2)="PC","PWCB",IF(MID(A111,2,2)="RF","Refund"))))</f>
        <v>Visa Purchasing - PWCB</v>
      </c>
      <c r="L111">
        <v>838</v>
      </c>
      <c r="M111">
        <v>408</v>
      </c>
      <c r="N111" t="str">
        <f t="shared" si="2"/>
        <v>INSERT INTO [dbo].[Contracts] ([Id], [ChargeCodes], [PPI], [PPC], [MerchanID], [Descriptions]) VALUES (838, 'APCVIC6', '2.02', '0.01567', 'Auchan', 'Visa Purchasing - PWCB')</v>
      </c>
      <c r="O111" t="str">
        <f t="shared" si="3"/>
        <v>INSERT INTO [dbo].[Contracts] ([Id], [M1ChargeCodes], [M1PPI], [M1PPC], [M1MerchanID]) VALUES (408, 'APCVIC6', '2.02', '0.01567', 'MERCH00002')</v>
      </c>
    </row>
    <row r="112" spans="1:15" hidden="1" x14ac:dyDescent="0.3">
      <c r="A112" s="38" t="s">
        <v>720</v>
      </c>
      <c r="B112" s="38">
        <v>2.02</v>
      </c>
      <c r="C112" s="41">
        <v>1.567E-2</v>
      </c>
      <c r="D112" s="38" t="s">
        <v>765</v>
      </c>
      <c r="E112" s="37"/>
      <c r="F112" s="38" t="s">
        <v>720</v>
      </c>
      <c r="G112" s="38">
        <v>2.02</v>
      </c>
      <c r="H112" s="41">
        <v>1.567E-2</v>
      </c>
      <c r="I112" t="s">
        <v>762</v>
      </c>
      <c r="J112" s="38" t="s">
        <v>982</v>
      </c>
      <c r="K112" t="str">
        <f>INDEX(psegm!B:B,MATCH(RIGHT(contract!A112,4),psegm!A:A,0))&amp;" - "&amp;IF(MID(A112,2,2)="CA","Cash Advance",IF(MID(A112,2,2)="OC","OCT",IF(MID(A112,2,2)="PC","PWCB",IF(MID(A112,2,2)="RF","Refund"))))</f>
        <v>Visa Electron Credit - PWCB</v>
      </c>
      <c r="L112">
        <v>839</v>
      </c>
      <c r="M112">
        <v>409</v>
      </c>
      <c r="N112" t="str">
        <f t="shared" si="2"/>
        <v>INSERT INTO [dbo].[Contracts] ([Id], [ChargeCodes], [PPI], [PPC], [MerchanID], [Descriptions]) VALUES (839, 'APCVIC7', '2.02', '0.01567', 'Auchan', 'Visa Electron Credit - PWCB')</v>
      </c>
      <c r="O112" t="str">
        <f t="shared" si="3"/>
        <v>INSERT INTO [dbo].[Contracts] ([Id], [M1ChargeCodes], [M1PPI], [M1PPC], [M1MerchanID]) VALUES (409, 'APCVIC7', '2.02', '0.01567', 'MERCH00002')</v>
      </c>
    </row>
    <row r="113" spans="1:15" hidden="1" x14ac:dyDescent="0.3">
      <c r="A113" s="38" t="s">
        <v>654</v>
      </c>
      <c r="B113" s="38">
        <v>2.02</v>
      </c>
      <c r="C113" s="41">
        <v>1.567E-2</v>
      </c>
      <c r="D113" s="38" t="s">
        <v>765</v>
      </c>
      <c r="E113" s="37"/>
      <c r="F113" s="38" t="s">
        <v>654</v>
      </c>
      <c r="G113" s="38">
        <v>2.02</v>
      </c>
      <c r="H113" s="41">
        <v>1.567E-2</v>
      </c>
      <c r="I113" t="s">
        <v>762</v>
      </c>
      <c r="J113" s="38" t="s">
        <v>983</v>
      </c>
      <c r="K113" t="str">
        <f>INDEX(psegm!B:B,MATCH(RIGHT(contract!A113,4),psegm!A:A,0))&amp;" - "&amp;IF(MID(A113,2,2)="CA","Cash Advance",IF(MID(A113,2,2)="OC","OCT",IF(MID(A113,2,2)="PC","PWCB",IF(MID(A113,2,2)="RF","Refund"))))</f>
        <v>Visa Debit Per - PWCB</v>
      </c>
      <c r="L113">
        <v>840</v>
      </c>
      <c r="M113">
        <v>410</v>
      </c>
      <c r="N113" t="str">
        <f t="shared" si="2"/>
        <v>INSERT INTO [dbo].[Contracts] ([Id], [ChargeCodes], [PPI], [PPC], [MerchanID], [Descriptions]) VALUES (840, 'APCVID1', '2.02', '0.01567', 'Auchan', 'Visa Debit Per - PWCB')</v>
      </c>
      <c r="O113" t="str">
        <f t="shared" si="3"/>
        <v>INSERT INTO [dbo].[Contracts] ([Id], [M1ChargeCodes], [M1PPI], [M1PPC], [M1MerchanID]) VALUES (410, 'APCVID1', '2.02', '0.01567', 'MERCH00002')</v>
      </c>
    </row>
    <row r="114" spans="1:15" hidden="1" x14ac:dyDescent="0.3">
      <c r="A114" s="38" t="s">
        <v>721</v>
      </c>
      <c r="B114" s="38">
        <v>2.02</v>
      </c>
      <c r="C114" s="41">
        <v>1.567E-2</v>
      </c>
      <c r="D114" s="38" t="s">
        <v>765</v>
      </c>
      <c r="E114" s="37"/>
      <c r="F114" s="38" t="s">
        <v>721</v>
      </c>
      <c r="G114" s="38">
        <v>2.02</v>
      </c>
      <c r="H114" s="41">
        <v>1.567E-2</v>
      </c>
      <c r="I114" t="s">
        <v>762</v>
      </c>
      <c r="J114" s="38" t="s">
        <v>984</v>
      </c>
      <c r="K114" t="str">
        <f>INDEX(psegm!B:B,MATCH(RIGHT(contract!A114,4),psegm!A:A,0))&amp;" - "&amp;IF(MID(A114,2,2)="CA","Cash Advance",IF(MID(A114,2,2)="OC","OCT",IF(MID(A114,2,2)="PC","PWCB",IF(MID(A114,2,2)="RF","Refund"))))</f>
        <v>Visa Dr Per Int - PWCB</v>
      </c>
      <c r="L114">
        <v>841</v>
      </c>
      <c r="M114">
        <v>411</v>
      </c>
      <c r="N114" t="str">
        <f t="shared" si="2"/>
        <v>INSERT INTO [dbo].[Contracts] ([Id], [ChargeCodes], [PPI], [PPC], [MerchanID], [Descriptions]) VALUES (841, 'APCVID2', '2.02', '0.01567', 'Auchan', 'Visa Dr Per Int - PWCB')</v>
      </c>
      <c r="O114" t="str">
        <f t="shared" si="3"/>
        <v>INSERT INTO [dbo].[Contracts] ([Id], [M1ChargeCodes], [M1PPI], [M1PPC], [M1MerchanID]) VALUES (411, 'APCVID2', '2.02', '0.01567', 'MERCH00002')</v>
      </c>
    </row>
    <row r="115" spans="1:15" hidden="1" x14ac:dyDescent="0.3">
      <c r="A115" s="38" t="s">
        <v>722</v>
      </c>
      <c r="B115" s="38">
        <v>2.02</v>
      </c>
      <c r="C115" s="41">
        <v>1.567E-2</v>
      </c>
      <c r="D115" s="38" t="s">
        <v>765</v>
      </c>
      <c r="E115" s="37"/>
      <c r="F115" s="38" t="s">
        <v>722</v>
      </c>
      <c r="G115" s="38">
        <v>2.02</v>
      </c>
      <c r="H115" s="41">
        <v>1.567E-2</v>
      </c>
      <c r="I115" t="s">
        <v>762</v>
      </c>
      <c r="J115" s="38" t="s">
        <v>985</v>
      </c>
      <c r="K115" t="str">
        <f>INDEX(psegm!B:B,MATCH(RIGHT(contract!A115,4),psegm!A:A,0))&amp;" - "&amp;IF(MID(A115,2,2)="CA","Cash Advance",IF(MID(A115,2,2)="OC","OCT",IF(MID(A115,2,2)="PC","PWCB",IF(MID(A115,2,2)="RF","Refund"))))</f>
        <v>Visa Debit Com - PWCB</v>
      </c>
      <c r="L115">
        <v>842</v>
      </c>
      <c r="M115">
        <v>412</v>
      </c>
      <c r="N115" t="str">
        <f t="shared" si="2"/>
        <v>INSERT INTO [dbo].[Contracts] ([Id], [ChargeCodes], [PPI], [PPC], [MerchanID], [Descriptions]) VALUES (842, 'APCVID3', '2.02', '0.01567', 'Auchan', 'Visa Debit Com - PWCB')</v>
      </c>
      <c r="O115" t="str">
        <f t="shared" si="3"/>
        <v>INSERT INTO [dbo].[Contracts] ([Id], [M1ChargeCodes], [M1PPI], [M1PPC], [M1MerchanID]) VALUES (412, 'APCVID3', '2.02', '0.01567', 'MERCH00002')</v>
      </c>
    </row>
    <row r="116" spans="1:15" hidden="1" x14ac:dyDescent="0.3">
      <c r="A116" s="38" t="s">
        <v>653</v>
      </c>
      <c r="B116" s="38">
        <v>2.02</v>
      </c>
      <c r="C116" s="41">
        <v>1.567E-2</v>
      </c>
      <c r="D116" s="38" t="s">
        <v>765</v>
      </c>
      <c r="E116" s="37"/>
      <c r="F116" s="38" t="s">
        <v>653</v>
      </c>
      <c r="G116" s="38">
        <v>2.02</v>
      </c>
      <c r="H116" s="41">
        <v>1.567E-2</v>
      </c>
      <c r="I116" t="s">
        <v>762</v>
      </c>
      <c r="J116" s="38" t="s">
        <v>986</v>
      </c>
      <c r="K116" t="str">
        <f>INDEX(psegm!B:B,MATCH(RIGHT(contract!A116,4),psegm!A:A,0))&amp;" - "&amp;IF(MID(A116,2,2)="CA","Cash Advance",IF(MID(A116,2,2)="OC","OCT",IF(MID(A116,2,2)="PC","PWCB",IF(MID(A116,2,2)="RF","Refund"))))</f>
        <v>Visa Dr Com Intl - PWCB</v>
      </c>
      <c r="L116">
        <v>843</v>
      </c>
      <c r="M116">
        <v>413</v>
      </c>
      <c r="N116" t="str">
        <f t="shared" si="2"/>
        <v>INSERT INTO [dbo].[Contracts] ([Id], [ChargeCodes], [PPI], [PPC], [MerchanID], [Descriptions]) VALUES (843, 'APCVID4', '2.02', '0.01567', 'Auchan', 'Visa Dr Com Intl - PWCB')</v>
      </c>
      <c r="O116" t="str">
        <f t="shared" si="3"/>
        <v>INSERT INTO [dbo].[Contracts] ([Id], [M1ChargeCodes], [M1PPI], [M1PPC], [M1MerchanID]) VALUES (413, 'APCVID4', '2.02', '0.01567', 'MERCH00002')</v>
      </c>
    </row>
    <row r="117" spans="1:15" hidden="1" x14ac:dyDescent="0.3">
      <c r="A117" s="38" t="s">
        <v>657</v>
      </c>
      <c r="B117" s="38">
        <v>2.02</v>
      </c>
      <c r="C117" s="41">
        <v>1.567E-2</v>
      </c>
      <c r="D117" s="38" t="s">
        <v>765</v>
      </c>
      <c r="E117" s="37"/>
      <c r="F117" s="38" t="s">
        <v>657</v>
      </c>
      <c r="G117" s="38">
        <v>2.02</v>
      </c>
      <c r="H117" s="41">
        <v>1.567E-2</v>
      </c>
      <c r="I117" t="s">
        <v>762</v>
      </c>
      <c r="J117" s="38" t="s">
        <v>987</v>
      </c>
      <c r="K117" t="str">
        <f>INDEX(psegm!B:B,MATCH(RIGHT(contract!A117,4),psegm!A:A,0))&amp;" - "&amp;IF(MID(A117,2,2)="CA","Cash Advance",IF(MID(A117,2,2)="OC","OCT",IF(MID(A117,2,2)="PC","PWCB",IF(MID(A117,2,2)="RF","Refund"))))</f>
        <v>Visa Electron - PWCB</v>
      </c>
      <c r="L117">
        <v>844</v>
      </c>
      <c r="M117">
        <v>414</v>
      </c>
      <c r="N117" t="str">
        <f t="shared" si="2"/>
        <v>INSERT INTO [dbo].[Contracts] ([Id], [ChargeCodes], [PPI], [PPC], [MerchanID], [Descriptions]) VALUES (844, 'APCVID5', '2.02', '0.01567', 'Auchan', 'Visa Electron - PWCB')</v>
      </c>
      <c r="O117" t="str">
        <f t="shared" si="3"/>
        <v>INSERT INTO [dbo].[Contracts] ([Id], [M1ChargeCodes], [M1PPI], [M1PPC], [M1MerchanID]) VALUES (414, 'APCVID5', '2.02', '0.01567', 'MERCH00002')</v>
      </c>
    </row>
    <row r="118" spans="1:15" hidden="1" x14ac:dyDescent="0.3">
      <c r="A118" s="38" t="s">
        <v>723</v>
      </c>
      <c r="B118" s="38">
        <v>2.02</v>
      </c>
      <c r="C118" s="41">
        <v>1.567E-2</v>
      </c>
      <c r="D118" s="38" t="s">
        <v>765</v>
      </c>
      <c r="E118" s="37"/>
      <c r="F118" s="38" t="s">
        <v>723</v>
      </c>
      <c r="G118" s="38">
        <v>2.02</v>
      </c>
      <c r="H118" s="41">
        <v>1.567E-2</v>
      </c>
      <c r="I118" t="s">
        <v>762</v>
      </c>
      <c r="J118" s="38" t="s">
        <v>988</v>
      </c>
      <c r="K118" t="str">
        <f>INDEX(psegm!B:B,MATCH(RIGHT(contract!A118,4),psegm!A:A,0))&amp;" - "&amp;IF(MID(A118,2,2)="CA","Cash Advance",IF(MID(A118,2,2)="OC","OCT",IF(MID(A118,2,2)="PC","PWCB",IF(MID(A118,2,2)="RF","Refund"))))</f>
        <v>Visa Elec Per Int - PWCB</v>
      </c>
      <c r="L118">
        <v>845</v>
      </c>
      <c r="M118">
        <v>415</v>
      </c>
      <c r="N118" t="str">
        <f t="shared" si="2"/>
        <v>INSERT INTO [dbo].[Contracts] ([Id], [ChargeCodes], [PPI], [PPC], [MerchanID], [Descriptions]) VALUES (845, 'APCVID6', '2.02', '0.01567', 'Auchan', 'Visa Elec Per Int - PWCB')</v>
      </c>
      <c r="O118" t="str">
        <f t="shared" si="3"/>
        <v>INSERT INTO [dbo].[Contracts] ([Id], [M1ChargeCodes], [M1PPI], [M1PPC], [M1MerchanID]) VALUES (415, 'APCVID6', '2.02', '0.01567', 'MERCH00002')</v>
      </c>
    </row>
    <row r="119" spans="1:15" hidden="1" x14ac:dyDescent="0.3">
      <c r="A119" s="38" t="s">
        <v>724</v>
      </c>
      <c r="B119" s="38">
        <v>2.02</v>
      </c>
      <c r="C119" s="41">
        <v>1.567E-2</v>
      </c>
      <c r="D119" s="38" t="s">
        <v>765</v>
      </c>
      <c r="E119" s="37"/>
      <c r="F119" s="38" t="s">
        <v>724</v>
      </c>
      <c r="G119" s="38">
        <v>2.02</v>
      </c>
      <c r="H119" s="41">
        <v>1.567E-2</v>
      </c>
      <c r="I119" t="s">
        <v>762</v>
      </c>
      <c r="J119" s="38" t="s">
        <v>989</v>
      </c>
      <c r="K119" t="str">
        <f>INDEX(psegm!B:B,MATCH(RIGHT(contract!A119,4),psegm!A:A,0))&amp;" - "&amp;IF(MID(A119,2,2)="CA","Cash Advance",IF(MID(A119,2,2)="OC","OCT",IF(MID(A119,2,2)="PC","PWCB",IF(MID(A119,2,2)="RF","Refund"))))</f>
        <v>All Star - PWCB</v>
      </c>
      <c r="L119">
        <v>846</v>
      </c>
      <c r="M119">
        <v>416</v>
      </c>
      <c r="N119" t="str">
        <f t="shared" si="2"/>
        <v>INSERT INTO [dbo].[Contracts] ([Id], [ChargeCodes], [PPI], [PPC], [MerchanID], [Descriptions]) VALUES (846, 'APCALLS', '2.02', '0.01567', 'Auchan', 'All Star - PWCB')</v>
      </c>
      <c r="O119" t="str">
        <f t="shared" si="3"/>
        <v>INSERT INTO [dbo].[Contracts] ([Id], [M1ChargeCodes], [M1PPI], [M1PPC], [M1MerchanID]) VALUES (416, 'APCALLS', '2.02', '0.01567', 'MERCH00002')</v>
      </c>
    </row>
    <row r="120" spans="1:15" hidden="1" x14ac:dyDescent="0.3">
      <c r="A120" s="38" t="s">
        <v>725</v>
      </c>
      <c r="B120" s="38">
        <v>2.02</v>
      </c>
      <c r="C120" s="41">
        <v>1.567E-2</v>
      </c>
      <c r="D120" s="38" t="s">
        <v>765</v>
      </c>
      <c r="E120" s="37"/>
      <c r="F120" s="38" t="s">
        <v>725</v>
      </c>
      <c r="G120" s="38">
        <v>2.02</v>
      </c>
      <c r="H120" s="41">
        <v>1.567E-2</v>
      </c>
      <c r="I120" t="s">
        <v>762</v>
      </c>
      <c r="J120" s="38" t="s">
        <v>990</v>
      </c>
      <c r="K120" t="str">
        <f>INDEX(psegm!B:B,MATCH(RIGHT(contract!A120,2),psegm!A:A,0))&amp;" - "&amp;IF(MID(A120,2,2)="CA","Cash Advance",IF(MID(A120,2,2)="OC","OCT",IF(MID(A120,2,2)="PC","PWCB",IF(MID(A120,2,2)="RF","Refund"))))</f>
        <v>Diners Discover - PWCB</v>
      </c>
      <c r="L120">
        <v>847</v>
      </c>
      <c r="M120">
        <v>417</v>
      </c>
      <c r="N120" t="str">
        <f t="shared" si="2"/>
        <v>INSERT INTO [dbo].[Contracts] ([Id], [ChargeCodes], [PPI], [PPC], [MerchanID], [Descriptions]) VALUES (847, 'APCDD', '2.02', '0.01567', 'Auchan', 'Diners Discover - PWCB')</v>
      </c>
      <c r="O120" t="str">
        <f t="shared" si="3"/>
        <v>INSERT INTO [dbo].[Contracts] ([Id], [M1ChargeCodes], [M1PPI], [M1PPC], [M1MerchanID]) VALUES (417, 'APCDD', '2.02', '0.01567', 'MERCH00002')</v>
      </c>
    </row>
    <row r="121" spans="1:15" hidden="1" x14ac:dyDescent="0.3">
      <c r="A121" s="38" t="s">
        <v>165</v>
      </c>
      <c r="B121" s="38">
        <v>2.02</v>
      </c>
      <c r="C121" s="41">
        <v>1.567E-2</v>
      </c>
      <c r="D121" s="38" t="s">
        <v>765</v>
      </c>
      <c r="E121" s="37"/>
      <c r="F121" s="38" t="s">
        <v>165</v>
      </c>
      <c r="G121" s="38">
        <v>2.02</v>
      </c>
      <c r="H121" s="41">
        <v>1.567E-2</v>
      </c>
      <c r="I121" t="s">
        <v>762</v>
      </c>
      <c r="J121" s="38" t="s">
        <v>991</v>
      </c>
      <c r="K121" t="str">
        <f>INDEX(psegm!B:B,MATCH(RIGHT(contract!A121,2),psegm!A:A,0))&amp;" - "&amp;IF(MID(A121,2,2)="CA","Cash Advance",IF(MID(A121,2,2)="OC","OCT",IF(MID(A121,2,2)="PC","PWCB",IF(MID(A121,2,2)="RF","Refund"))))</f>
        <v>Diners International - PWCB</v>
      </c>
      <c r="L121">
        <v>848</v>
      </c>
      <c r="M121">
        <v>418</v>
      </c>
      <c r="N121" t="str">
        <f t="shared" si="2"/>
        <v>INSERT INTO [dbo].[Contracts] ([Id], [ChargeCodes], [PPI], [PPC], [MerchanID], [Descriptions]) VALUES (848, 'APCDI', '2.02', '0.01567', 'Auchan', 'Diners International - PWCB')</v>
      </c>
      <c r="O121" t="str">
        <f t="shared" si="3"/>
        <v>INSERT INTO [dbo].[Contracts] ([Id], [M1ChargeCodes], [M1PPI], [M1PPC], [M1MerchanID]) VALUES (418, 'APCDI', '2.02', '0.01567', 'MERCH00002')</v>
      </c>
    </row>
    <row r="122" spans="1:15" hidden="1" x14ac:dyDescent="0.3">
      <c r="A122" s="38" t="s">
        <v>726</v>
      </c>
      <c r="B122" s="38">
        <v>2.02</v>
      </c>
      <c r="C122" s="41">
        <v>1.567E-2</v>
      </c>
      <c r="D122" s="38" t="s">
        <v>765</v>
      </c>
      <c r="E122" s="37"/>
      <c r="F122" s="38" t="s">
        <v>726</v>
      </c>
      <c r="G122" s="38">
        <v>2.02</v>
      </c>
      <c r="H122" s="41">
        <v>1.567E-2</v>
      </c>
      <c r="I122" t="s">
        <v>762</v>
      </c>
      <c r="J122" s="38" t="s">
        <v>992</v>
      </c>
      <c r="K122" t="str">
        <f>INDEX(psegm!B:B,MATCH(RIGHT(contract!A122,3),psegm!A:A,0))&amp;" - "&amp;IF(MID(A122,2,2)="CA","Cash Advance",IF(MID(A122,2,2)="OC","OCT",IF(MID(A122,2,2)="PC","PWCB",IF(MID(A122,2,2)="RF","Refund"))))</f>
        <v>Diners UK (Elavon) - PWCB</v>
      </c>
      <c r="L122">
        <v>849</v>
      </c>
      <c r="M122">
        <v>419</v>
      </c>
      <c r="N122" t="str">
        <f t="shared" si="2"/>
        <v>INSERT INTO [dbo].[Contracts] ([Id], [ChargeCodes], [PPI], [PPC], [MerchanID], [Descriptions]) VALUES (849, 'APCDUK', '2.02', '0.01567', 'Auchan', 'Diners UK (Elavon) - PWCB')</v>
      </c>
      <c r="O122" t="str">
        <f t="shared" si="3"/>
        <v>INSERT INTO [dbo].[Contracts] ([Id], [M1ChargeCodes], [M1PPI], [M1PPC], [M1MerchanID]) VALUES (419, 'APCDUK', '2.02', '0.01567', 'MERCH00002')</v>
      </c>
    </row>
    <row r="123" spans="1:15" hidden="1" x14ac:dyDescent="0.3">
      <c r="A123" s="38" t="s">
        <v>727</v>
      </c>
      <c r="B123" s="38">
        <v>2.02</v>
      </c>
      <c r="C123" s="41">
        <v>1.567E-2</v>
      </c>
      <c r="D123" s="38" t="s">
        <v>765</v>
      </c>
      <c r="E123" s="37"/>
      <c r="F123" s="38" t="s">
        <v>727</v>
      </c>
      <c r="G123" s="38">
        <v>2.02</v>
      </c>
      <c r="H123" s="41">
        <v>1.567E-2</v>
      </c>
      <c r="I123" t="s">
        <v>762</v>
      </c>
      <c r="J123" s="38" t="s">
        <v>993</v>
      </c>
      <c r="K123" t="str">
        <f>INDEX(psegm!B:B,MATCH(RIGHT(contract!A123,5),psegm!A:A,0))&amp;" - "&amp;IF(MID(A123,2,2)="CA","Purchase",IF(MID(A123,2,2)="OC","OCT",IF(MID(A123,2,2)="PC","PWCB",IF(MID(A123,2,2)="RF","Refund"))))</f>
        <v>LaSer - PWCB</v>
      </c>
      <c r="L123">
        <v>850</v>
      </c>
      <c r="M123">
        <v>420</v>
      </c>
      <c r="N123" t="str">
        <f t="shared" si="2"/>
        <v>INSERT INTO [dbo].[Contracts] ([Id], [ChargeCodes], [PPI], [PPC], [MerchanID], [Descriptions]) VALUES (850, 'APCLASER', '2.02', '0.01567', 'Auchan', 'LaSer - PWCB')</v>
      </c>
      <c r="O123" t="str">
        <f t="shared" si="3"/>
        <v>INSERT INTO [dbo].[Contracts] ([Id], [M1ChargeCodes], [M1PPI], [M1PPC], [M1MerchanID]) VALUES (420, 'APCLASER', '2.02', '0.01567', 'MERCH00002')</v>
      </c>
    </row>
    <row r="124" spans="1:15" hidden="1" x14ac:dyDescent="0.3">
      <c r="A124" s="38" t="s">
        <v>728</v>
      </c>
      <c r="B124" s="38">
        <v>2.02</v>
      </c>
      <c r="C124" s="41">
        <v>1.567E-2</v>
      </c>
      <c r="D124" s="38" t="s">
        <v>765</v>
      </c>
      <c r="E124" s="37"/>
      <c r="F124" s="38" t="s">
        <v>728</v>
      </c>
      <c r="G124" s="38">
        <v>2.02</v>
      </c>
      <c r="H124" s="41">
        <v>1.567E-2</v>
      </c>
      <c r="I124" t="s">
        <v>762</v>
      </c>
      <c r="J124" s="38" t="s">
        <v>994</v>
      </c>
      <c r="K124" t="str">
        <f>INDEX(psegm!B:B,MATCH(RIGHT(contract!A124,5),psegm!A:A,0))&amp;" - "&amp;IF(MID(A124,2,2)="CA","Purchase",IF(MID(A124,2,2)="OC","OCT",IF(MID(A124,2,2)="PC","PWCB",IF(MID(A124,2,2)="RF","Refund"))))</f>
        <v>JCB UK - PWCB</v>
      </c>
      <c r="L124">
        <v>851</v>
      </c>
      <c r="M124">
        <v>421</v>
      </c>
      <c r="N124" t="str">
        <f t="shared" si="2"/>
        <v>INSERT INTO [dbo].[Contracts] ([Id], [ChargeCodes], [PPI], [PPC], [MerchanID], [Descriptions]) VALUES (851, 'APCJCBUK', '2.02', '0.01567', 'Auchan', 'JCB UK - PWCB')</v>
      </c>
      <c r="O124" t="str">
        <f t="shared" si="3"/>
        <v>INSERT INTO [dbo].[Contracts] ([Id], [M1ChargeCodes], [M1PPI], [M1PPC], [M1MerchanID]) VALUES (421, 'APCJCBUK', '2.02', '0.01567', 'MERCH00002')</v>
      </c>
    </row>
    <row r="125" spans="1:15" hidden="1" x14ac:dyDescent="0.3">
      <c r="A125" s="38" t="s">
        <v>729</v>
      </c>
      <c r="B125" s="38">
        <v>2.02</v>
      </c>
      <c r="C125" s="41">
        <v>1.567E-2</v>
      </c>
      <c r="D125" s="38" t="s">
        <v>765</v>
      </c>
      <c r="E125" s="37"/>
      <c r="F125" s="38" t="s">
        <v>729</v>
      </c>
      <c r="G125" s="38">
        <v>2.02</v>
      </c>
      <c r="H125" s="41">
        <v>1.567E-2</v>
      </c>
      <c r="I125" t="s">
        <v>762</v>
      </c>
      <c r="J125" s="38" t="s">
        <v>995</v>
      </c>
      <c r="K125" t="str">
        <f>INDEX(psegm!B:B,MATCH(RIGHT(contract!A125,6),psegm!A:A,0))&amp;" - "&amp;IF(MID(A125,2,2)="CA","Purchase",IF(MID(A125,2,2)="OC","OCT",IF(MID(A125,2,2)="PC","PWCB",IF(MID(A125,2,2)="RF","Refund"))))</f>
        <v>JCB ROI - PWCB</v>
      </c>
      <c r="L125">
        <v>852</v>
      </c>
      <c r="M125">
        <v>422</v>
      </c>
      <c r="N125" t="str">
        <f t="shared" si="2"/>
        <v>INSERT INTO [dbo].[Contracts] ([Id], [ChargeCodes], [PPI], [PPC], [MerchanID], [Descriptions]) VALUES (852, 'APCJCBROI', '2.02', '0.01567', 'Auchan', 'JCB ROI - PWCB')</v>
      </c>
      <c r="O125" t="str">
        <f t="shared" si="3"/>
        <v>INSERT INTO [dbo].[Contracts] ([Id], [M1ChargeCodes], [M1PPI], [M1PPC], [M1MerchanID]) VALUES (422, 'APCJCBROI', '2.02', '0.01567', 'MERCH00002')</v>
      </c>
    </row>
    <row r="126" spans="1:15" hidden="1" x14ac:dyDescent="0.3">
      <c r="A126" s="38" t="s">
        <v>730</v>
      </c>
      <c r="B126" s="38">
        <v>2.02</v>
      </c>
      <c r="C126" s="41">
        <v>1.567E-2</v>
      </c>
      <c r="D126" s="38" t="s">
        <v>765</v>
      </c>
      <c r="E126" s="37"/>
      <c r="F126" s="38" t="s">
        <v>730</v>
      </c>
      <c r="G126" s="38">
        <v>2.02</v>
      </c>
      <c r="H126" s="41">
        <v>1.567E-2</v>
      </c>
      <c r="I126" t="s">
        <v>762</v>
      </c>
      <c r="J126" s="38" t="s">
        <v>996</v>
      </c>
      <c r="K126" t="str">
        <f>INDEX(psegm!B:B,MATCH(RIGHT(contract!A126,4),psegm!A:A,0))&amp;" - "&amp;IF(MID(A126,2,2)="CA","Purchase",IF(MID(A126,2,2)="OC","OCT",IF(MID(A126,2,2)="PC","PWCB",IF(MID(A126,2,2)="RF","Refund"))))</f>
        <v>JCB International - PWCB</v>
      </c>
      <c r="L126">
        <v>853</v>
      </c>
      <c r="M126">
        <v>423</v>
      </c>
      <c r="N126" t="str">
        <f t="shared" si="2"/>
        <v>INSERT INTO [dbo].[Contracts] ([Id], [ChargeCodes], [PPI], [PPC], [MerchanID], [Descriptions]) VALUES (853, 'APCJCBI', '2.02', '0.01567', 'Auchan', 'JCB International - PWCB')</v>
      </c>
      <c r="O126" t="str">
        <f t="shared" si="3"/>
        <v>INSERT INTO [dbo].[Contracts] ([Id], [M1ChargeCodes], [M1PPI], [M1PPC], [M1MerchanID]) VALUES (423, 'APCJCBI', '2.02', '0.01567', 'MERCH00002')</v>
      </c>
    </row>
    <row r="127" spans="1:15" hidden="1" x14ac:dyDescent="0.3">
      <c r="A127" s="38" t="s">
        <v>731</v>
      </c>
      <c r="B127" s="38">
        <v>2.02</v>
      </c>
      <c r="C127" s="41">
        <v>1.567E-2</v>
      </c>
      <c r="D127" s="38" t="s">
        <v>765</v>
      </c>
      <c r="E127" s="37"/>
      <c r="F127" s="38" t="s">
        <v>731</v>
      </c>
      <c r="G127" s="38">
        <v>2.02</v>
      </c>
      <c r="H127" s="41">
        <v>1.567E-2</v>
      </c>
      <c r="I127" t="s">
        <v>762</v>
      </c>
      <c r="J127" s="38" t="s">
        <v>997</v>
      </c>
      <c r="K127" t="str">
        <f>INDEX(psegm!B:B,MATCH(RIGHT(contract!A127,2),psegm!A:A,0))&amp;" - "&amp;IF(MID(A127,2,2)="CA","Cash Advance",IF(MID(A127,2,2)="OC","OCT",IF(MID(A127,2,2)="PC","PWCB",IF(MID(A127,2,2)="RF","Refund"))))</f>
        <v>Keyfuels - PWCB</v>
      </c>
      <c r="L127">
        <v>854</v>
      </c>
      <c r="M127">
        <v>424</v>
      </c>
      <c r="N127" t="str">
        <f t="shared" si="2"/>
        <v>INSERT INTO [dbo].[Contracts] ([Id], [ChargeCodes], [PPI], [PPC], [MerchanID], [Descriptions]) VALUES (854, 'APCKF', '2.02', '0.01567', 'Auchan', 'Keyfuels - PWCB')</v>
      </c>
      <c r="O127" t="str">
        <f t="shared" si="3"/>
        <v>INSERT INTO [dbo].[Contracts] ([Id], [M1ChargeCodes], [M1PPI], [M1PPC], [M1MerchanID]) VALUES (424, 'APCKF', '2.02', '0.01567', 'MERCH00002')</v>
      </c>
    </row>
    <row r="128" spans="1:15" hidden="1" x14ac:dyDescent="0.3">
      <c r="A128" s="38" t="s">
        <v>732</v>
      </c>
      <c r="B128" s="38">
        <v>2.02</v>
      </c>
      <c r="C128" s="41">
        <v>1.567E-2</v>
      </c>
      <c r="D128" s="38" t="s">
        <v>765</v>
      </c>
      <c r="E128" s="37"/>
      <c r="F128" s="38" t="s">
        <v>732</v>
      </c>
      <c r="G128" s="38">
        <v>2.02</v>
      </c>
      <c r="H128" s="41">
        <v>1.567E-2</v>
      </c>
      <c r="I128" t="s">
        <v>762</v>
      </c>
      <c r="J128" s="38" t="s">
        <v>998</v>
      </c>
      <c r="K128" t="str">
        <f>INDEX(psegm!B:B,MATCH(RIGHT(contract!A128,5),psegm!A:A,0))&amp;" - "&amp;IF(MID(A128,2,2)="CA","Cash Advance",IF(MID(A128,2,2)="OC","OCT",IF(MID(A128,2,2)="PC","PWCB",IF(MID(A128,2,2)="RF","Refund"))))</f>
        <v>Sears - PWCB</v>
      </c>
      <c r="L128">
        <v>855</v>
      </c>
      <c r="M128">
        <v>425</v>
      </c>
      <c r="N128" t="str">
        <f t="shared" si="2"/>
        <v>INSERT INTO [dbo].[Contracts] ([Id], [ChargeCodes], [PPI], [PPC], [MerchanID], [Descriptions]) VALUES (855, 'APCSTARS', '2.02', '0.01567', 'Auchan', 'Sears - PWCB')</v>
      </c>
      <c r="O128" t="str">
        <f t="shared" si="3"/>
        <v>INSERT INTO [dbo].[Contracts] ([Id], [M1ChargeCodes], [M1PPI], [M1PPC], [M1MerchanID]) VALUES (425, 'APCSTARS', '2.02', '0.01567', 'MERCH00002')</v>
      </c>
    </row>
    <row r="129" spans="1:15" hidden="1" x14ac:dyDescent="0.3">
      <c r="A129" s="38" t="s">
        <v>658</v>
      </c>
      <c r="B129" s="38">
        <v>1.4</v>
      </c>
      <c r="C129" s="41">
        <v>1.567E-2</v>
      </c>
      <c r="D129" s="38" t="s">
        <v>765</v>
      </c>
      <c r="E129" s="37"/>
      <c r="F129" s="38" t="s">
        <v>658</v>
      </c>
      <c r="G129" s="38">
        <v>1.4</v>
      </c>
      <c r="H129" s="41">
        <v>1.567E-2</v>
      </c>
      <c r="I129" t="s">
        <v>762</v>
      </c>
      <c r="J129" s="38" t="s">
        <v>999</v>
      </c>
      <c r="K129" t="str">
        <f>INDEX(psegm!B:B,MATCH(RIGHT(contract!A129,4),psegm!A:A,0))&amp;" - "&amp;IF(MID(A129,2,2)="CA","Cash Advance",IF(MID(A129,2,2)="OC","OCT",IF(MID(A129,2,2)="PC","PWCB",IF(MID(A129,2,2)="RF","Refund",IF(MID(A129,2,2)="PU","Purchase")))))</f>
        <v>MasterCard Cr Per - Purchase</v>
      </c>
      <c r="L129">
        <v>856</v>
      </c>
      <c r="M129">
        <v>426</v>
      </c>
      <c r="N129" t="str">
        <f t="shared" si="2"/>
        <v>INSERT INTO [dbo].[Contracts] ([Id], [ChargeCodes], [PPI], [PPC], [MerchanID], [Descriptions]) VALUES (856, 'APUMCC1', '1.4', '0.01567', 'Auchan', 'MasterCard Cr Per - Purchase')</v>
      </c>
      <c r="O129" t="str">
        <f t="shared" si="3"/>
        <v>INSERT INTO [dbo].[Contracts] ([Id], [M1ChargeCodes], [M1PPI], [M1PPC], [M1MerchanID]) VALUES (426, 'APUMCC1', '1.4', '0.01567', 'MERCH00002')</v>
      </c>
    </row>
    <row r="130" spans="1:15" hidden="1" x14ac:dyDescent="0.3">
      <c r="A130" s="38" t="s">
        <v>167</v>
      </c>
      <c r="B130" s="38">
        <v>1.4</v>
      </c>
      <c r="C130" s="41">
        <v>1.567E-2</v>
      </c>
      <c r="D130" s="38" t="s">
        <v>765</v>
      </c>
      <c r="E130" s="37"/>
      <c r="F130" s="38" t="s">
        <v>167</v>
      </c>
      <c r="G130" s="38">
        <v>1.4</v>
      </c>
      <c r="H130" s="41">
        <v>1.567E-2</v>
      </c>
      <c r="I130" t="s">
        <v>762</v>
      </c>
      <c r="J130" s="38" t="s">
        <v>1000</v>
      </c>
      <c r="K130" t="str">
        <f>INDEX(psegm!B:B,MATCH(RIGHT(contract!A130,4),psegm!A:A,0))&amp;" - "&amp;IF(MID(A130,2,2)="CA","Cash Advance",IF(MID(A130,2,2)="OC","OCT",IF(MID(A130,2,2)="PC","PWCB",IF(MID(A130,2,2)="RF","Refund",IF(MID(A130,2,2)="PU","Purchase")))))</f>
        <v>MasterCard Business - Purchase</v>
      </c>
      <c r="L130">
        <v>857</v>
      </c>
      <c r="M130">
        <v>427</v>
      </c>
      <c r="N130" t="str">
        <f t="shared" si="2"/>
        <v>INSERT INTO [dbo].[Contracts] ([Id], [ChargeCodes], [PPI], [PPC], [MerchanID], [Descriptions]) VALUES (857, 'APUMCC2', '1.4', '0.01567', 'Auchan', 'MasterCard Business - Purchase')</v>
      </c>
      <c r="O130" t="str">
        <f t="shared" si="3"/>
        <v>INSERT INTO [dbo].[Contracts] ([Id], [M1ChargeCodes], [M1PPI], [M1PPC], [M1MerchanID]) VALUES (427, 'APUMCC2', '1.4', '0.01567', 'MERCH00002')</v>
      </c>
    </row>
    <row r="131" spans="1:15" hidden="1" x14ac:dyDescent="0.3">
      <c r="A131" s="38" t="s">
        <v>168</v>
      </c>
      <c r="B131" s="38">
        <v>1.4</v>
      </c>
      <c r="C131" s="41">
        <v>1.567E-2</v>
      </c>
      <c r="D131" s="38" t="s">
        <v>765</v>
      </c>
      <c r="E131" s="37"/>
      <c r="F131" s="38" t="s">
        <v>168</v>
      </c>
      <c r="G131" s="38">
        <v>1.4</v>
      </c>
      <c r="H131" s="41">
        <v>1.567E-2</v>
      </c>
      <c r="I131" t="s">
        <v>762</v>
      </c>
      <c r="J131" s="38" t="s">
        <v>1001</v>
      </c>
      <c r="K131" t="str">
        <f>INDEX(psegm!B:B,MATCH(RIGHT(contract!A131,4),psegm!A:A,0))&amp;" - "&amp;IF(MID(A131,2,2)="CA","Cash Advance",IF(MID(A131,2,2)="OC","OCT",IF(MID(A131,2,2)="PC","PWCB",IF(MID(A131,2,2)="RF","Refund",IF(MID(A131,2,2)="PU","Purchase")))))</f>
        <v>MasterCard Fleet - Purchase</v>
      </c>
      <c r="L131">
        <v>858</v>
      </c>
      <c r="M131">
        <v>428</v>
      </c>
      <c r="N131" t="str">
        <f t="shared" si="2"/>
        <v>INSERT INTO [dbo].[Contracts] ([Id], [ChargeCodes], [PPI], [PPC], [MerchanID], [Descriptions]) VALUES (858, 'APUMCC3', '1.4', '0.01567', 'Auchan', 'MasterCard Fleet - Purchase')</v>
      </c>
      <c r="O131" t="str">
        <f t="shared" si="3"/>
        <v>INSERT INTO [dbo].[Contracts] ([Id], [M1ChargeCodes], [M1PPI], [M1PPC], [M1MerchanID]) VALUES (428, 'APUMCC3', '1.4', '0.01567', 'MERCH00002')</v>
      </c>
    </row>
    <row r="132" spans="1:15" hidden="1" x14ac:dyDescent="0.3">
      <c r="A132" s="38" t="s">
        <v>169</v>
      </c>
      <c r="B132" s="38">
        <v>1.4</v>
      </c>
      <c r="C132" s="41">
        <v>1.567E-2</v>
      </c>
      <c r="D132" s="38" t="s">
        <v>765</v>
      </c>
      <c r="E132" s="37"/>
      <c r="F132" s="38" t="s">
        <v>169</v>
      </c>
      <c r="G132" s="38">
        <v>1.4</v>
      </c>
      <c r="H132" s="41">
        <v>1.567E-2</v>
      </c>
      <c r="I132" t="s">
        <v>762</v>
      </c>
      <c r="J132" s="38" t="s">
        <v>1002</v>
      </c>
      <c r="K132" t="str">
        <f>INDEX(psegm!B:B,MATCH(RIGHT(contract!A132,4),psegm!A:A,0))&amp;" - "&amp;IF(MID(A132,2,2)="CA","Cash Advance",IF(MID(A132,2,2)="OC","OCT",IF(MID(A132,2,2)="PC","PWCB",IF(MID(A132,2,2)="RF","Refund",IF(MID(A132,2,2)="PU","Purchase")))))</f>
        <v>MasterCard Corporate - Purchase</v>
      </c>
      <c r="L132">
        <v>859</v>
      </c>
      <c r="M132">
        <v>429</v>
      </c>
      <c r="N132" t="str">
        <f t="shared" ref="N132:N195" si="4">"INSERT INTO [dbo].[Contracts] ([Id], [ChargeCodes], [PPI], [PPC], [MerchanID], [Descriptions]) VALUES ("&amp;L132&amp;", '"&amp;A132&amp;"', '"&amp;B132&amp;"', '"&amp;C132&amp;"', '"&amp;D132&amp;"', '"&amp;K132&amp;"')"</f>
        <v>INSERT INTO [dbo].[Contracts] ([Id], [ChargeCodes], [PPI], [PPC], [MerchanID], [Descriptions]) VALUES (859, 'APUMCC4', '1.4', '0.01567', 'Auchan', 'MasterCard Corporate - Purchase')</v>
      </c>
      <c r="O132" t="str">
        <f t="shared" ref="O132:O195" si="5">"INSERT INTO [dbo].[Contracts] ([Id], [M1ChargeCodes], [M1PPI], [M1PPC], [M1MerchanID]) VALUES ("&amp;M132&amp;", '"&amp;F132&amp;"', '"&amp;G132&amp;"', '"&amp;H132&amp;"', '"&amp;I132&amp;"')"</f>
        <v>INSERT INTO [dbo].[Contracts] ([Id], [M1ChargeCodes], [M1PPI], [M1PPC], [M1MerchanID]) VALUES (429, 'APUMCC4', '1.4', '0.01567', 'MERCH00002')</v>
      </c>
    </row>
    <row r="133" spans="1:15" hidden="1" x14ac:dyDescent="0.3">
      <c r="A133" s="38" t="s">
        <v>170</v>
      </c>
      <c r="B133" s="38">
        <v>1.4</v>
      </c>
      <c r="C133" s="41">
        <v>1.567E-2</v>
      </c>
      <c r="D133" s="38" t="s">
        <v>765</v>
      </c>
      <c r="E133" s="37"/>
      <c r="F133" s="38" t="s">
        <v>170</v>
      </c>
      <c r="G133" s="38">
        <v>1.4</v>
      </c>
      <c r="H133" s="41">
        <v>1.567E-2</v>
      </c>
      <c r="I133" t="s">
        <v>762</v>
      </c>
      <c r="J133" s="38" t="s">
        <v>1003</v>
      </c>
      <c r="K133" t="str">
        <f>INDEX(psegm!B:B,MATCH(RIGHT(contract!A133,4),psegm!A:A,0))&amp;" - "&amp;IF(MID(A133,2,2)="CA","Cash Advance",IF(MID(A133,2,2)="OC","OCT",IF(MID(A133,2,2)="PC","PWCB",IF(MID(A133,2,2)="RF","Refund",IF(MID(A133,2,2)="PU","Purchase")))))</f>
        <v>MasterCard Purchase - Purchase</v>
      </c>
      <c r="L133">
        <v>860</v>
      </c>
      <c r="M133">
        <v>430</v>
      </c>
      <c r="N133" t="str">
        <f t="shared" si="4"/>
        <v>INSERT INTO [dbo].[Contracts] ([Id], [ChargeCodes], [PPI], [PPC], [MerchanID], [Descriptions]) VALUES (860, 'APUMCC5', '1.4', '0.01567', 'Auchan', 'MasterCard Purchase - Purchase')</v>
      </c>
      <c r="O133" t="str">
        <f t="shared" si="5"/>
        <v>INSERT INTO [dbo].[Contracts] ([Id], [M1ChargeCodes], [M1PPI], [M1PPC], [M1MerchanID]) VALUES (430, 'APUMCC5', '1.4', '0.01567', 'MERCH00002')</v>
      </c>
    </row>
    <row r="134" spans="1:15" hidden="1" x14ac:dyDescent="0.3">
      <c r="A134" s="38" t="s">
        <v>171</v>
      </c>
      <c r="B134" s="38">
        <v>1.4</v>
      </c>
      <c r="C134" s="41">
        <v>1.567E-2</v>
      </c>
      <c r="D134" s="38" t="s">
        <v>765</v>
      </c>
      <c r="E134" s="37"/>
      <c r="F134" s="38" t="s">
        <v>171</v>
      </c>
      <c r="G134" s="38">
        <v>1.4</v>
      </c>
      <c r="H134" s="41">
        <v>1.567E-2</v>
      </c>
      <c r="I134" t="s">
        <v>762</v>
      </c>
      <c r="J134" s="38" t="s">
        <v>1004</v>
      </c>
      <c r="K134" t="str">
        <f>INDEX(psegm!B:B,MATCH(RIGHT(contract!A134,4),psegm!A:A,0))&amp;" - "&amp;IF(MID(A134,2,2)="CA","Cash Advance",IF(MID(A134,2,2)="OC","OCT",IF(MID(A134,2,2)="PC","PWCB",IF(MID(A134,2,2)="RF","Refund",IF(MID(A134,2,2)="PU","Purchase")))))</f>
        <v>MasterCard Signia - Purchase</v>
      </c>
      <c r="L134">
        <v>861</v>
      </c>
      <c r="M134">
        <v>431</v>
      </c>
      <c r="N134" t="str">
        <f t="shared" si="4"/>
        <v>INSERT INTO [dbo].[Contracts] ([Id], [ChargeCodes], [PPI], [PPC], [MerchanID], [Descriptions]) VALUES (861, 'APUMCC6', '1.4', '0.01567', 'Auchan', 'MasterCard Signia - Purchase')</v>
      </c>
      <c r="O134" t="str">
        <f t="shared" si="5"/>
        <v>INSERT INTO [dbo].[Contracts] ([Id], [M1ChargeCodes], [M1PPI], [M1PPC], [M1MerchanID]) VALUES (431, 'APUMCC6', '1.4', '0.01567', 'MERCH00002')</v>
      </c>
    </row>
    <row r="135" spans="1:15" hidden="1" x14ac:dyDescent="0.3">
      <c r="A135" s="38" t="s">
        <v>136</v>
      </c>
      <c r="B135" s="38">
        <v>1.4</v>
      </c>
      <c r="C135" s="41">
        <v>1.567E-2</v>
      </c>
      <c r="D135" s="38" t="s">
        <v>765</v>
      </c>
      <c r="E135" s="37"/>
      <c r="F135" s="38" t="s">
        <v>136</v>
      </c>
      <c r="G135" s="38">
        <v>1.4</v>
      </c>
      <c r="H135" s="41">
        <v>1.567E-2</v>
      </c>
      <c r="I135" t="s">
        <v>762</v>
      </c>
      <c r="J135" s="38" t="s">
        <v>1005</v>
      </c>
      <c r="K135" t="str">
        <f>INDEX(psegm!B:B,MATCH(RIGHT(contract!A135,4),psegm!A:A,0))&amp;" - "&amp;IF(MID(A135,2,2)="CA","Cash Advance",IF(MID(A135,2,2)="OC","OCT",IF(MID(A135,2,2)="PC","PWCB",IF(MID(A135,2,2)="RF","Refund",IF(MID(A135,2,2)="PU","Purchase")))))</f>
        <v>MasterCard World - Purchase</v>
      </c>
      <c r="L135">
        <v>862</v>
      </c>
      <c r="M135">
        <v>432</v>
      </c>
      <c r="N135" t="str">
        <f t="shared" si="4"/>
        <v>INSERT INTO [dbo].[Contracts] ([Id], [ChargeCodes], [PPI], [PPC], [MerchanID], [Descriptions]) VALUES (862, 'APUMCC7', '1.4', '0.01567', 'Auchan', 'MasterCard World - Purchase')</v>
      </c>
      <c r="O135" t="str">
        <f t="shared" si="5"/>
        <v>INSERT INTO [dbo].[Contracts] ([Id], [M1ChargeCodes], [M1PPI], [M1PPC], [M1MerchanID]) VALUES (432, 'APUMCC7', '1.4', '0.01567', 'MERCH00002')</v>
      </c>
    </row>
    <row r="136" spans="1:15" hidden="1" x14ac:dyDescent="0.3">
      <c r="A136" s="38" t="s">
        <v>137</v>
      </c>
      <c r="B136" s="38">
        <v>1.4</v>
      </c>
      <c r="C136" s="41">
        <v>1.567E-2</v>
      </c>
      <c r="D136" s="38" t="s">
        <v>765</v>
      </c>
      <c r="E136" s="37"/>
      <c r="F136" s="38" t="s">
        <v>137</v>
      </c>
      <c r="G136" s="38">
        <v>1.4</v>
      </c>
      <c r="H136" s="41">
        <v>1.567E-2</v>
      </c>
      <c r="I136" t="s">
        <v>762</v>
      </c>
      <c r="J136" s="38" t="s">
        <v>1006</v>
      </c>
      <c r="K136" t="str">
        <f>INDEX(psegm!B:B,MATCH(RIGHT(contract!A136,4),psegm!A:A,0))&amp;" - "&amp;IF(MID(A136,2,2)="CA","Cash Advance",IF(MID(A136,2,2)="OC","OCT",IF(MID(A136,2,2)="PC","PWCB",IF(MID(A136,2,2)="RF","Refund",IF(MID(A136,2,2)="PU","Purchase")))))</f>
        <v>MasterCard Comm - Purchase</v>
      </c>
      <c r="L136">
        <v>863</v>
      </c>
      <c r="M136">
        <v>433</v>
      </c>
      <c r="N136" t="str">
        <f t="shared" si="4"/>
        <v>INSERT INTO [dbo].[Contracts] ([Id], [ChargeCodes], [PPI], [PPC], [MerchanID], [Descriptions]) VALUES (863, 'APUMCC8', '1.4', '0.01567', 'Auchan', 'MasterCard Comm - Purchase')</v>
      </c>
      <c r="O136" t="str">
        <f t="shared" si="5"/>
        <v>INSERT INTO [dbo].[Contracts] ([Id], [M1ChargeCodes], [M1PPI], [M1PPC], [M1MerchanID]) VALUES (433, 'APUMCC8', '1.4', '0.01567', 'MERCH00002')</v>
      </c>
    </row>
    <row r="137" spans="1:15" hidden="1" x14ac:dyDescent="0.3">
      <c r="A137" s="38" t="s">
        <v>138</v>
      </c>
      <c r="B137" s="38">
        <v>1.4</v>
      </c>
      <c r="C137" s="41">
        <v>1.567E-2</v>
      </c>
      <c r="D137" s="38" t="s">
        <v>765</v>
      </c>
      <c r="E137" s="37"/>
      <c r="F137" s="38" t="s">
        <v>138</v>
      </c>
      <c r="G137" s="38">
        <v>1.4</v>
      </c>
      <c r="H137" s="41">
        <v>1.567E-2</v>
      </c>
      <c r="I137" t="s">
        <v>762</v>
      </c>
      <c r="J137" s="38" t="s">
        <v>999</v>
      </c>
      <c r="K137" t="str">
        <f>INDEX(psegm!B:B,MATCH(RIGHT(contract!A137,4),psegm!A:A,0))&amp;" - "&amp;IF(MID(A137,2,2)="CA","Cash Advance",IF(MID(A137,2,2)="OC","OCT",IF(MID(A137,2,2)="PC","PWCB",IF(MID(A137,2,2)="RF","Refund",IF(MID(A137,2,2)="PU","Purchase")))))</f>
        <v>MasterCard Cr Per - Purchase</v>
      </c>
      <c r="L137">
        <v>864</v>
      </c>
      <c r="M137">
        <v>434</v>
      </c>
      <c r="N137" t="str">
        <f t="shared" si="4"/>
        <v>INSERT INTO [dbo].[Contracts] ([Id], [ChargeCodes], [PPI], [PPC], [MerchanID], [Descriptions]) VALUES (864, 'APUMCC9', '1.4', '0.01567', 'Auchan', 'MasterCard Cr Per - Purchase')</v>
      </c>
      <c r="O137" t="str">
        <f t="shared" si="5"/>
        <v>INSERT INTO [dbo].[Contracts] ([Id], [M1ChargeCodes], [M1PPI], [M1PPC], [M1MerchanID]) VALUES (434, 'APUMCC9', '1.4', '0.01567', 'MERCH00002')</v>
      </c>
    </row>
    <row r="138" spans="1:15" hidden="1" x14ac:dyDescent="0.3">
      <c r="A138" s="38" t="s">
        <v>139</v>
      </c>
      <c r="B138" s="38">
        <v>1.4</v>
      </c>
      <c r="C138" s="41">
        <v>1.567E-2</v>
      </c>
      <c r="D138" s="38" t="s">
        <v>765</v>
      </c>
      <c r="E138" s="37"/>
      <c r="F138" s="38" t="s">
        <v>139</v>
      </c>
      <c r="G138" s="38">
        <v>1.4</v>
      </c>
      <c r="H138" s="41">
        <v>1.567E-2</v>
      </c>
      <c r="I138" t="s">
        <v>762</v>
      </c>
      <c r="J138" s="38" t="s">
        <v>1007</v>
      </c>
      <c r="K138" t="str">
        <f>INDEX(psegm!B:B,MATCH(RIGHT(contract!A138,4),psegm!A:A,0))&amp;" - "&amp;IF(MID(A138,2,2)="CA","Cash Advance",IF(MID(A138,2,2)="OC","OCT",IF(MID(A138,2,2)="PC","PWCB",IF(MID(A138,2,2)="RF","Refund",IF(MID(A138,2,2)="PU","Purchase")))))</f>
        <v>MasterCardDr Com Int - Purchase</v>
      </c>
      <c r="L138">
        <v>865</v>
      </c>
      <c r="M138">
        <v>435</v>
      </c>
      <c r="N138" t="str">
        <f t="shared" si="4"/>
        <v>INSERT INTO [dbo].[Contracts] ([Id], [ChargeCodes], [PPI], [PPC], [MerchanID], [Descriptions]) VALUES (865, 'APUMCD1', '1.4', '0.01567', 'Auchan', 'MasterCardDr Com Int - Purchase')</v>
      </c>
      <c r="O138" t="str">
        <f t="shared" si="5"/>
        <v>INSERT INTO [dbo].[Contracts] ([Id], [M1ChargeCodes], [M1PPI], [M1PPC], [M1MerchanID]) VALUES (435, 'APUMCD1', '1.4', '0.01567', 'MERCH00002')</v>
      </c>
    </row>
    <row r="139" spans="1:15" hidden="1" x14ac:dyDescent="0.3">
      <c r="A139" s="38" t="s">
        <v>140</v>
      </c>
      <c r="B139" s="38">
        <v>1.4</v>
      </c>
      <c r="C139" s="41">
        <v>1.567E-2</v>
      </c>
      <c r="D139" s="38" t="s">
        <v>765</v>
      </c>
      <c r="E139" s="37"/>
      <c r="F139" s="38" t="s">
        <v>140</v>
      </c>
      <c r="G139" s="38">
        <v>1.4</v>
      </c>
      <c r="H139" s="41">
        <v>1.567E-2</v>
      </c>
      <c r="I139" t="s">
        <v>762</v>
      </c>
      <c r="J139" s="38" t="s">
        <v>1008</v>
      </c>
      <c r="K139" t="str">
        <f>INDEX(psegm!B:B,MATCH(RIGHT(contract!A139,4),psegm!A:A,0))&amp;" - "&amp;IF(MID(A139,2,2)="CA","Cash Advance",IF(MID(A139,2,2)="OC","OCT",IF(MID(A139,2,2)="PC","PWCB",IF(MID(A139,2,2)="RF","Refund",IF(MID(A139,2,2)="PU","Purchase")))))</f>
        <v>MasterCardDr Per Int - Purchase</v>
      </c>
      <c r="L139">
        <v>866</v>
      </c>
      <c r="M139">
        <v>436</v>
      </c>
      <c r="N139" t="str">
        <f t="shared" si="4"/>
        <v>INSERT INTO [dbo].[Contracts] ([Id], [ChargeCodes], [PPI], [PPC], [MerchanID], [Descriptions]) VALUES (866, 'APUMCD2', '1.4', '0.01567', 'Auchan', 'MasterCardDr Per Int - Purchase')</v>
      </c>
      <c r="O139" t="str">
        <f t="shared" si="5"/>
        <v>INSERT INTO [dbo].[Contracts] ([Id], [M1ChargeCodes], [M1PPI], [M1PPC], [M1MerchanID]) VALUES (436, 'APUMCD2', '1.4', '0.01567', 'MERCH00002')</v>
      </c>
    </row>
    <row r="140" spans="1:15" hidden="1" x14ac:dyDescent="0.3">
      <c r="A140" s="38" t="s">
        <v>141</v>
      </c>
      <c r="B140" s="38">
        <v>1.4</v>
      </c>
      <c r="C140" s="41">
        <v>1.567E-2</v>
      </c>
      <c r="D140" s="38" t="s">
        <v>765</v>
      </c>
      <c r="E140" s="37"/>
      <c r="F140" s="38" t="s">
        <v>141</v>
      </c>
      <c r="G140" s="38">
        <v>1.4</v>
      </c>
      <c r="H140" s="41">
        <v>1.567E-2</v>
      </c>
      <c r="I140" t="s">
        <v>762</v>
      </c>
      <c r="J140" s="38" t="s">
        <v>1009</v>
      </c>
      <c r="K140" t="str">
        <f>INDEX(psegm!B:B,MATCH(RIGHT(contract!A140,4),psegm!A:A,0))&amp;" - "&amp;IF(MID(A140,2,2)="CA","Cash Advance",IF(MID(A140,2,2)="OC","OCT",IF(MID(A140,2,2)="PC","PWCB",IF(MID(A140,2,2)="RF","Refund",IF(MID(A140,2,2)="PU","Purchase")))))</f>
        <v>Dr MasterCard EEA - Purchase</v>
      </c>
      <c r="L140">
        <v>867</v>
      </c>
      <c r="M140">
        <v>437</v>
      </c>
      <c r="N140" t="str">
        <f t="shared" si="4"/>
        <v>INSERT INTO [dbo].[Contracts] ([Id], [ChargeCodes], [PPI], [PPC], [MerchanID], [Descriptions]) VALUES (867, 'APUMCD3', '1.4', '0.01567', 'Auchan', 'Dr MasterCard EEA - Purchase')</v>
      </c>
      <c r="O140" t="str">
        <f t="shared" si="5"/>
        <v>INSERT INTO [dbo].[Contracts] ([Id], [M1ChargeCodes], [M1PPI], [M1PPC], [M1MerchanID]) VALUES (437, 'APUMCD3', '1.4', '0.01567', 'MERCH00002')</v>
      </c>
    </row>
    <row r="141" spans="1:15" hidden="1" x14ac:dyDescent="0.3">
      <c r="A141" s="38" t="s">
        <v>142</v>
      </c>
      <c r="B141" s="38">
        <v>1.4</v>
      </c>
      <c r="C141" s="41">
        <v>1.567E-2</v>
      </c>
      <c r="D141" s="38" t="s">
        <v>765</v>
      </c>
      <c r="E141" s="37"/>
      <c r="F141" s="38" t="s">
        <v>142</v>
      </c>
      <c r="G141" s="38">
        <v>1.4</v>
      </c>
      <c r="H141" s="41">
        <v>1.567E-2</v>
      </c>
      <c r="I141" t="s">
        <v>762</v>
      </c>
      <c r="J141" s="38" t="s">
        <v>1010</v>
      </c>
      <c r="K141" t="str">
        <f>INDEX(psegm!B:B,MATCH(RIGHT(contract!A141,4),psegm!A:A,0))&amp;" - "&amp;IF(MID(A141,2,2)="CA","Cash Advance",IF(MID(A141,2,2)="OC","OCT",IF(MID(A141,2,2)="PC","PWCB",IF(MID(A141,2,2)="RF","Refund",IF(MID(A141,2,2)="PU","Purchase")))))</f>
        <v>Debit MasterCard Per Int - Purchase</v>
      </c>
      <c r="L141">
        <v>868</v>
      </c>
      <c r="M141">
        <v>438</v>
      </c>
      <c r="N141" t="str">
        <f t="shared" si="4"/>
        <v>INSERT INTO [dbo].[Contracts] ([Id], [ChargeCodes], [PPI], [PPC], [MerchanID], [Descriptions]) VALUES (868, 'APUMCD4', '1.4', '0.01567', 'Auchan', 'Debit MasterCard Per Int - Purchase')</v>
      </c>
      <c r="O141" t="str">
        <f t="shared" si="5"/>
        <v>INSERT INTO [dbo].[Contracts] ([Id], [M1ChargeCodes], [M1PPI], [M1PPC], [M1MerchanID]) VALUES (438, 'APUMCD4', '1.4', '0.01567', 'MERCH00002')</v>
      </c>
    </row>
    <row r="142" spans="1:15" hidden="1" x14ac:dyDescent="0.3">
      <c r="A142" s="38" t="s">
        <v>172</v>
      </c>
      <c r="B142" s="38">
        <v>1.4</v>
      </c>
      <c r="C142" s="41">
        <v>1.567E-2</v>
      </c>
      <c r="D142" s="38" t="s">
        <v>765</v>
      </c>
      <c r="E142" s="37"/>
      <c r="F142" s="38" t="s">
        <v>172</v>
      </c>
      <c r="G142" s="38">
        <v>1.4</v>
      </c>
      <c r="H142" s="41">
        <v>1.567E-2</v>
      </c>
      <c r="I142" t="s">
        <v>762</v>
      </c>
      <c r="J142" s="38" t="s">
        <v>1011</v>
      </c>
      <c r="K142" t="str">
        <f>INDEX(psegm!B:B,MATCH(RIGHT(contract!A142,4),psegm!A:A,0))&amp;" - "&amp;IF(MID(A142,2,2)="CA","Cash Advance",IF(MID(A142,2,2)="OC","OCT",IF(MID(A142,2,2)="PC","PWCB",IF(MID(A142,2,2)="RF","Refund",IF(MID(A142,2,2)="PU","Purchase")))))</f>
        <v>Debit MasterCard Com Int - Purchase</v>
      </c>
      <c r="L142">
        <v>869</v>
      </c>
      <c r="M142">
        <v>439</v>
      </c>
      <c r="N142" t="str">
        <f t="shared" si="4"/>
        <v>INSERT INTO [dbo].[Contracts] ([Id], [ChargeCodes], [PPI], [PPC], [MerchanID], [Descriptions]) VALUES (869, 'APUMCD5', '1.4', '0.01567', 'Auchan', 'Debit MasterCard Com Int - Purchase')</v>
      </c>
      <c r="O142" t="str">
        <f t="shared" si="5"/>
        <v>INSERT INTO [dbo].[Contracts] ([Id], [M1ChargeCodes], [M1PPI], [M1PPC], [M1MerchanID]) VALUES (439, 'APUMCD5', '1.4', '0.01567', 'MERCH00002')</v>
      </c>
    </row>
    <row r="143" spans="1:15" hidden="1" x14ac:dyDescent="0.3">
      <c r="A143" s="38" t="s">
        <v>143</v>
      </c>
      <c r="B143" s="38">
        <v>1.4</v>
      </c>
      <c r="C143" s="41">
        <v>1.567E-2</v>
      </c>
      <c r="D143" s="38" t="s">
        <v>765</v>
      </c>
      <c r="E143" s="37"/>
      <c r="F143" s="38" t="s">
        <v>143</v>
      </c>
      <c r="G143" s="38">
        <v>1.4</v>
      </c>
      <c r="H143" s="41">
        <v>1.567E-2</v>
      </c>
      <c r="I143" t="s">
        <v>762</v>
      </c>
      <c r="J143" s="38" t="s">
        <v>1012</v>
      </c>
      <c r="K143" t="str">
        <f>INDEX(psegm!B:B,MATCH(RIGHT(contract!A143,4),psegm!A:A,0))&amp;" - "&amp;IF(MID(A143,2,2)="CA","Cash Advance",IF(MID(A143,2,2)="OC","OCT",IF(MID(A143,2,2)="PC","PWCB",IF(MID(A143,2,2)="RF","Refund",IF(MID(A143,2,2)="PU","Purchase")))))</f>
        <v>Maestro UK (DOM) Com - Purchase</v>
      </c>
      <c r="L143">
        <v>870</v>
      </c>
      <c r="M143">
        <v>440</v>
      </c>
      <c r="N143" t="str">
        <f t="shared" si="4"/>
        <v>INSERT INTO [dbo].[Contracts] ([Id], [ChargeCodes], [PPI], [PPC], [MerchanID], [Descriptions]) VALUES (870, 'APUMCD6', '1.4', '0.01567', 'Auchan', 'Maestro UK (DOM) Com - Purchase')</v>
      </c>
      <c r="O143" t="str">
        <f t="shared" si="5"/>
        <v>INSERT INTO [dbo].[Contracts] ([Id], [M1ChargeCodes], [M1PPI], [M1PPC], [M1MerchanID]) VALUES (440, 'APUMCD6', '1.4', '0.01567', 'MERCH00002')</v>
      </c>
    </row>
    <row r="144" spans="1:15" hidden="1" x14ac:dyDescent="0.3">
      <c r="A144" s="38" t="s">
        <v>173</v>
      </c>
      <c r="B144" s="38">
        <v>1.4</v>
      </c>
      <c r="C144" s="41">
        <v>1.567E-2</v>
      </c>
      <c r="D144" s="38" t="s">
        <v>765</v>
      </c>
      <c r="E144" s="37"/>
      <c r="F144" s="38" t="s">
        <v>173</v>
      </c>
      <c r="G144" s="38">
        <v>1.4</v>
      </c>
      <c r="H144" s="41">
        <v>1.567E-2</v>
      </c>
      <c r="I144" t="s">
        <v>762</v>
      </c>
      <c r="J144" s="38" t="s">
        <v>1013</v>
      </c>
      <c r="K144" t="str">
        <f>INDEX(psegm!B:B,MATCH(RIGHT(contract!A144,4),psegm!A:A,0))&amp;" - "&amp;IF(MID(A144,2,2)="CA","Cash Advance",IF(MID(A144,2,2)="OC","OCT",IF(MID(A144,2,2)="PC","PWCB",IF(MID(A144,2,2)="RF","Refund",IF(MID(A144,2,2)="PU","Purchase")))))</f>
        <v>Maestro Intl Com - Purchase</v>
      </c>
      <c r="L144">
        <v>871</v>
      </c>
      <c r="M144">
        <v>441</v>
      </c>
      <c r="N144" t="str">
        <f t="shared" si="4"/>
        <v>INSERT INTO [dbo].[Contracts] ([Id], [ChargeCodes], [PPI], [PPC], [MerchanID], [Descriptions]) VALUES (871, 'APUMCD7', '1.4', '0.01567', 'Auchan', 'Maestro Intl Com - Purchase')</v>
      </c>
      <c r="O144" t="str">
        <f t="shared" si="5"/>
        <v>INSERT INTO [dbo].[Contracts] ([Id], [M1ChargeCodes], [M1PPI], [M1PPC], [M1MerchanID]) VALUES (441, 'APUMCD7', '1.4', '0.01567', 'MERCH00002')</v>
      </c>
    </row>
    <row r="145" spans="1:15" hidden="1" x14ac:dyDescent="0.3">
      <c r="A145" s="38" t="s">
        <v>174</v>
      </c>
      <c r="B145" s="38">
        <v>1.4</v>
      </c>
      <c r="C145" s="41">
        <v>1.567E-2</v>
      </c>
      <c r="D145" s="38" t="s">
        <v>765</v>
      </c>
      <c r="E145" s="37"/>
      <c r="F145" s="38" t="s">
        <v>174</v>
      </c>
      <c r="G145" s="38">
        <v>1.4</v>
      </c>
      <c r="H145" s="41">
        <v>1.567E-2</v>
      </c>
      <c r="I145" t="s">
        <v>762</v>
      </c>
      <c r="J145" s="38" t="s">
        <v>1014</v>
      </c>
      <c r="K145" t="str">
        <f>INDEX(psegm!B:B,MATCH(RIGHT(contract!A145,4),psegm!A:A,0))&amp;" - "&amp;IF(MID(A145,2,2)="CA","Cash Advance",IF(MID(A145,2,2)="OC","OCT",IF(MID(A145,2,2)="PC","PWCB",IF(MID(A145,2,2)="RF","Refund",IF(MID(A145,2,2)="PU","Purchase")))))</f>
        <v>Maestro UK (DOM) Per - Purchase</v>
      </c>
      <c r="L145">
        <v>872</v>
      </c>
      <c r="M145">
        <v>442</v>
      </c>
      <c r="N145" t="str">
        <f t="shared" si="4"/>
        <v>INSERT INTO [dbo].[Contracts] ([Id], [ChargeCodes], [PPI], [PPC], [MerchanID], [Descriptions]) VALUES (872, 'APUMCD8', '1.4', '0.01567', 'Auchan', 'Maestro UK (DOM) Per - Purchase')</v>
      </c>
      <c r="O145" t="str">
        <f t="shared" si="5"/>
        <v>INSERT INTO [dbo].[Contracts] ([Id], [M1ChargeCodes], [M1PPI], [M1PPC], [M1MerchanID]) VALUES (442, 'APUMCD8', '1.4', '0.01567', 'MERCH00002')</v>
      </c>
    </row>
    <row r="146" spans="1:15" hidden="1" x14ac:dyDescent="0.3">
      <c r="A146" s="38" t="s">
        <v>144</v>
      </c>
      <c r="B146" s="38">
        <v>1.4</v>
      </c>
      <c r="C146" s="41">
        <v>1.567E-2</v>
      </c>
      <c r="D146" s="38" t="s">
        <v>765</v>
      </c>
      <c r="E146" s="37"/>
      <c r="F146" s="38" t="s">
        <v>144</v>
      </c>
      <c r="G146" s="38">
        <v>1.4</v>
      </c>
      <c r="H146" s="41">
        <v>1.567E-2</v>
      </c>
      <c r="I146" t="s">
        <v>762</v>
      </c>
      <c r="J146" s="38" t="s">
        <v>1015</v>
      </c>
      <c r="K146" t="str">
        <f>INDEX(psegm!B:B,MATCH(RIGHT(contract!A146,4),psegm!A:A,0))&amp;" - "&amp;IF(MID(A146,2,2)="CA","Cash Advance",IF(MID(A146,2,2)="OC","OCT",IF(MID(A146,2,2)="PC","PWCB",IF(MID(A146,2,2)="RF","Refund",IF(MID(A146,2,2)="PU","Purchase")))))</f>
        <v>Maestro Intl Per - Purchase</v>
      </c>
      <c r="L146">
        <v>873</v>
      </c>
      <c r="M146">
        <v>443</v>
      </c>
      <c r="N146" t="str">
        <f t="shared" si="4"/>
        <v>INSERT INTO [dbo].[Contracts] ([Id], [ChargeCodes], [PPI], [PPC], [MerchanID], [Descriptions]) VALUES (873, 'APUMCD9', '1.4', '0.01567', 'Auchan', 'Maestro Intl Per - Purchase')</v>
      </c>
      <c r="O146" t="str">
        <f t="shared" si="5"/>
        <v>INSERT INTO [dbo].[Contracts] ([Id], [M1ChargeCodes], [M1PPI], [M1PPC], [M1MerchanID]) VALUES (443, 'APUMCD9', '1.4', '0.01567', 'MERCH00002')</v>
      </c>
    </row>
    <row r="147" spans="1:15" hidden="1" x14ac:dyDescent="0.3">
      <c r="A147" s="38" t="s">
        <v>175</v>
      </c>
      <c r="B147" s="38">
        <v>1.4</v>
      </c>
      <c r="C147" s="41">
        <v>1.567E-2</v>
      </c>
      <c r="D147" s="38" t="s">
        <v>765</v>
      </c>
      <c r="E147" s="37"/>
      <c r="F147" s="38" t="s">
        <v>175</v>
      </c>
      <c r="G147" s="38">
        <v>1.4</v>
      </c>
      <c r="H147" s="41">
        <v>1.567E-2</v>
      </c>
      <c r="I147" t="s">
        <v>762</v>
      </c>
      <c r="J147" s="38" t="s">
        <v>1011</v>
      </c>
      <c r="K147" t="str">
        <f>INDEX(psegm!B:B,MATCH(RIGHT(contract!A147,5),psegm!A:A,0))&amp;" - "&amp;IF(MID(A147,2,2)="CA","Cash Advance",IF(MID(A147,2,2)="OC","OCT",IF(MID(A147,2,2)="PC","PWCB",IF(MID(A147,2,2)="RF","Refund",IF(MID(A147,2,2)="PU","Purchase")))))</f>
        <v>Debit MasterCard Com Int - Purchase</v>
      </c>
      <c r="L147">
        <v>874</v>
      </c>
      <c r="M147">
        <v>444</v>
      </c>
      <c r="N147" t="str">
        <f t="shared" si="4"/>
        <v>INSERT INTO [dbo].[Contracts] ([Id], [ChargeCodes], [PPI], [PPC], [MerchanID], [Descriptions]) VALUES (874, 'APUMCD10', '1.4', '0.01567', 'Auchan', 'Debit MasterCard Com Int - Purchase')</v>
      </c>
      <c r="O147" t="str">
        <f t="shared" si="5"/>
        <v>INSERT INTO [dbo].[Contracts] ([Id], [M1ChargeCodes], [M1PPI], [M1PPC], [M1MerchanID]) VALUES (444, 'APUMCD10', '1.4', '0.01567', 'MERCH00002')</v>
      </c>
    </row>
    <row r="148" spans="1:15" hidden="1" x14ac:dyDescent="0.3">
      <c r="A148" s="38" t="s">
        <v>176</v>
      </c>
      <c r="B148" s="38">
        <v>1.4</v>
      </c>
      <c r="C148" s="41">
        <v>1.567E-2</v>
      </c>
      <c r="D148" s="38" t="s">
        <v>765</v>
      </c>
      <c r="E148" s="37"/>
      <c r="F148" s="38" t="s">
        <v>176</v>
      </c>
      <c r="G148" s="38">
        <v>1.4</v>
      </c>
      <c r="H148" s="41">
        <v>1.567E-2</v>
      </c>
      <c r="I148" t="s">
        <v>762</v>
      </c>
      <c r="J148" s="38" t="s">
        <v>1016</v>
      </c>
      <c r="K148" t="str">
        <f>INDEX(psegm!B:B,MATCH(RIGHT(contract!A148,4),psegm!A:A,0))&amp;" - "&amp;IF(MID(A148,2,2)="CA","Cash Advance",IF(MID(A148,2,2)="OC","OCT",IF(MID(A148,2,2)="PC","PWCB",IF(MID(A148,2,2)="RF","Refund",IF(MID(A148,2,2)="PU","Purchase")))))</f>
        <v>Visa Elec Credit Personal - Purchase</v>
      </c>
      <c r="L148">
        <v>875</v>
      </c>
      <c r="M148">
        <v>445</v>
      </c>
      <c r="N148" t="str">
        <f t="shared" si="4"/>
        <v>INSERT INTO [dbo].[Contracts] ([Id], [ChargeCodes], [PPI], [PPC], [MerchanID], [Descriptions]) VALUES (875, 'APUVIC1', '1.4', '0.01567', 'Auchan', 'Visa Elec Credit Personal - Purchase')</v>
      </c>
      <c r="O148" t="str">
        <f t="shared" si="5"/>
        <v>INSERT INTO [dbo].[Contracts] ([Id], [M1ChargeCodes], [M1PPI], [M1PPC], [M1MerchanID]) VALUES (445, 'APUVIC1', '1.4', '0.01567', 'MERCH00002')</v>
      </c>
    </row>
    <row r="149" spans="1:15" hidden="1" x14ac:dyDescent="0.3">
      <c r="A149" s="38" t="s">
        <v>177</v>
      </c>
      <c r="B149" s="38">
        <v>1.4</v>
      </c>
      <c r="C149" s="41">
        <v>1.567E-2</v>
      </c>
      <c r="D149" s="38" t="s">
        <v>765</v>
      </c>
      <c r="E149" s="37"/>
      <c r="F149" s="38" t="s">
        <v>177</v>
      </c>
      <c r="G149" s="38">
        <v>1.4</v>
      </c>
      <c r="H149" s="41">
        <v>1.567E-2</v>
      </c>
      <c r="I149" t="s">
        <v>762</v>
      </c>
      <c r="J149" s="38" t="s">
        <v>1017</v>
      </c>
      <c r="K149" t="str">
        <f>INDEX(psegm!B:B,MATCH(RIGHT(contract!A149,4),psegm!A:A,0))&amp;" - "&amp;IF(MID(A149,2,2)="CA","Cash Advance",IF(MID(A149,2,2)="OC","OCT",IF(MID(A149,2,2)="PC","PWCB",IF(MID(A149,2,2)="RF","Refund",IF(MID(A149,2,2)="PU","Purchase")))))</f>
        <v>Visa Credit Personal - Purchase</v>
      </c>
      <c r="L149">
        <v>876</v>
      </c>
      <c r="M149">
        <v>446</v>
      </c>
      <c r="N149" t="str">
        <f t="shared" si="4"/>
        <v>INSERT INTO [dbo].[Contracts] ([Id], [ChargeCodes], [PPI], [PPC], [MerchanID], [Descriptions]) VALUES (876, 'APUVIC2', '1.4', '0.01567', 'Auchan', 'Visa Credit Personal - Purchase')</v>
      </c>
      <c r="O149" t="str">
        <f t="shared" si="5"/>
        <v>INSERT INTO [dbo].[Contracts] ([Id], [M1ChargeCodes], [M1PPI], [M1PPC], [M1MerchanID]) VALUES (446, 'APUVIC2', '1.4', '0.01567', 'MERCH00002')</v>
      </c>
    </row>
    <row r="150" spans="1:15" x14ac:dyDescent="0.3">
      <c r="A150" s="38" t="s">
        <v>178</v>
      </c>
      <c r="B150" s="38">
        <v>1.4</v>
      </c>
      <c r="C150" s="41">
        <v>1.567E-2</v>
      </c>
      <c r="D150" s="38" t="s">
        <v>765</v>
      </c>
      <c r="E150" s="37"/>
      <c r="F150" s="38" t="s">
        <v>178</v>
      </c>
      <c r="G150" s="38">
        <v>1.4</v>
      </c>
      <c r="H150" s="41">
        <v>1.567E-2</v>
      </c>
      <c r="I150" t="s">
        <v>762</v>
      </c>
      <c r="J150" s="38" t="s">
        <v>1018</v>
      </c>
      <c r="K150" t="str">
        <f>INDEX(psegm!B:B,MATCH(RIGHT(contract!A150,4),psegm!A:A,0))&amp;" - "&amp;IF(MID(A150,2,2)="CA","Cash Advance",IF(MID(A150,2,2)="OC","OCT",IF(MID(A150,2,2)="PC","PWCB",IF(MID(A150,2,2)="RF","Refund",IF(MID(A150,2,2)="PU","Purchase")))))</f>
        <v>Visa Business - Purchase</v>
      </c>
      <c r="L150">
        <v>877</v>
      </c>
      <c r="M150">
        <v>447</v>
      </c>
      <c r="N150" t="str">
        <f t="shared" si="4"/>
        <v>INSERT INTO [dbo].[Contracts] ([Id], [ChargeCodes], [PPI], [PPC], [MerchanID], [Descriptions]) VALUES (877, 'APUVIC3', '1.4', '0.01567', 'Auchan', 'Visa Business - Purchase')</v>
      </c>
      <c r="O150" t="str">
        <f t="shared" si="5"/>
        <v>INSERT INTO [dbo].[Contracts] ([Id], [M1ChargeCodes], [M1PPI], [M1PPC], [M1MerchanID]) VALUES (447, 'APUVIC3', '1.4', '0.01567', 'MERCH00002')</v>
      </c>
    </row>
    <row r="151" spans="1:15" hidden="1" x14ac:dyDescent="0.3">
      <c r="A151" s="38" t="s">
        <v>179</v>
      </c>
      <c r="B151" s="38">
        <v>1.4</v>
      </c>
      <c r="C151" s="41">
        <v>1.567E-2</v>
      </c>
      <c r="D151" s="38" t="s">
        <v>765</v>
      </c>
      <c r="E151" s="37"/>
      <c r="F151" s="38" t="s">
        <v>179</v>
      </c>
      <c r="G151" s="38">
        <v>1.4</v>
      </c>
      <c r="H151" s="41">
        <v>1.567E-2</v>
      </c>
      <c r="I151" t="s">
        <v>762</v>
      </c>
      <c r="J151" s="38" t="s">
        <v>1019</v>
      </c>
      <c r="K151" t="str">
        <f>INDEX(psegm!B:B,MATCH(RIGHT(contract!A151,4),psegm!A:A,0))&amp;" - "&amp;IF(MID(A151,2,2)="CA","Cash Advance",IF(MID(A151,2,2)="OC","OCT",IF(MID(A151,2,2)="PC","PWCB",IF(MID(A151,2,2)="RF","Refund",IF(MID(A151,2,2)="PU","Purchase")))))</f>
        <v>Visa Commerce - Purchase</v>
      </c>
      <c r="L151">
        <v>878</v>
      </c>
      <c r="M151">
        <v>448</v>
      </c>
      <c r="N151" t="str">
        <f t="shared" si="4"/>
        <v>INSERT INTO [dbo].[Contracts] ([Id], [ChargeCodes], [PPI], [PPC], [MerchanID], [Descriptions]) VALUES (878, 'APUVIC4', '1.4', '0.01567', 'Auchan', 'Visa Commerce - Purchase')</v>
      </c>
      <c r="O151" t="str">
        <f t="shared" si="5"/>
        <v>INSERT INTO [dbo].[Contracts] ([Id], [M1ChargeCodes], [M1PPI], [M1PPC], [M1MerchanID]) VALUES (448, 'APUVIC4', '1.4', '0.01567', 'MERCH00002')</v>
      </c>
    </row>
    <row r="152" spans="1:15" hidden="1" x14ac:dyDescent="0.3">
      <c r="A152" s="38" t="s">
        <v>145</v>
      </c>
      <c r="B152" s="38">
        <v>1.4</v>
      </c>
      <c r="C152" s="41">
        <v>1.567E-2</v>
      </c>
      <c r="D152" s="38" t="s">
        <v>765</v>
      </c>
      <c r="E152" s="37"/>
      <c r="F152" s="38" t="s">
        <v>145</v>
      </c>
      <c r="G152" s="38">
        <v>1.4</v>
      </c>
      <c r="H152" s="41">
        <v>1.567E-2</v>
      </c>
      <c r="I152" t="s">
        <v>762</v>
      </c>
      <c r="J152" s="38" t="s">
        <v>1020</v>
      </c>
      <c r="K152" t="str">
        <f>INDEX(psegm!B:B,MATCH(RIGHT(contract!A152,4),psegm!A:A,0))&amp;" - "&amp;IF(MID(A152,2,2)="CA","Cash Advance",IF(MID(A152,2,2)="OC","OCT",IF(MID(A152,2,2)="PC","PWCB",IF(MID(A152,2,2)="RF","Refund",IF(MID(A152,2,2)="PU","Purchase")))))</f>
        <v>Visa Corporate - Purchase</v>
      </c>
      <c r="L152">
        <v>879</v>
      </c>
      <c r="M152">
        <v>449</v>
      </c>
      <c r="N152" t="str">
        <f t="shared" si="4"/>
        <v>INSERT INTO [dbo].[Contracts] ([Id], [ChargeCodes], [PPI], [PPC], [MerchanID], [Descriptions]) VALUES (879, 'APUVIC5', '1.4', '0.01567', 'Auchan', 'Visa Corporate - Purchase')</v>
      </c>
      <c r="O152" t="str">
        <f t="shared" si="5"/>
        <v>INSERT INTO [dbo].[Contracts] ([Id], [M1ChargeCodes], [M1PPI], [M1PPC], [M1MerchanID]) VALUES (449, 'APUVIC5', '1.4', '0.01567', 'MERCH00002')</v>
      </c>
    </row>
    <row r="153" spans="1:15" hidden="1" x14ac:dyDescent="0.3">
      <c r="A153" s="38" t="s">
        <v>146</v>
      </c>
      <c r="B153" s="38">
        <v>1.4</v>
      </c>
      <c r="C153" s="41">
        <v>1.567E-2</v>
      </c>
      <c r="D153" s="38" t="s">
        <v>765</v>
      </c>
      <c r="E153" s="37"/>
      <c r="F153" s="38" t="s">
        <v>146</v>
      </c>
      <c r="G153" s="38">
        <v>1.4</v>
      </c>
      <c r="H153" s="41">
        <v>1.567E-2</v>
      </c>
      <c r="I153" t="s">
        <v>762</v>
      </c>
      <c r="J153" s="38" t="s">
        <v>1021</v>
      </c>
      <c r="K153" t="str">
        <f>INDEX(psegm!B:B,MATCH(RIGHT(contract!A153,4),psegm!A:A,0))&amp;" - "&amp;IF(MID(A153,2,2)="CA","Cash Advance",IF(MID(A153,2,2)="OC","OCT",IF(MID(A153,2,2)="PC","PWCB",IF(MID(A153,2,2)="RF","Refund",IF(MID(A153,2,2)="PU","Purchase")))))</f>
        <v>Visa Purchasing - Purchase</v>
      </c>
      <c r="L153">
        <v>880</v>
      </c>
      <c r="M153">
        <v>450</v>
      </c>
      <c r="N153" t="str">
        <f t="shared" si="4"/>
        <v>INSERT INTO [dbo].[Contracts] ([Id], [ChargeCodes], [PPI], [PPC], [MerchanID], [Descriptions]) VALUES (880, 'APUVIC6', '1.4', '0.01567', 'Auchan', 'Visa Purchasing - Purchase')</v>
      </c>
      <c r="O153" t="str">
        <f t="shared" si="5"/>
        <v>INSERT INTO [dbo].[Contracts] ([Id], [M1ChargeCodes], [M1PPI], [M1PPC], [M1MerchanID]) VALUES (450, 'APUVIC6', '1.4', '0.01567', 'MERCH00002')</v>
      </c>
    </row>
    <row r="154" spans="1:15" hidden="1" x14ac:dyDescent="0.3">
      <c r="A154" s="38" t="s">
        <v>147</v>
      </c>
      <c r="B154" s="38">
        <v>1.4</v>
      </c>
      <c r="C154" s="41">
        <v>1.567E-2</v>
      </c>
      <c r="D154" s="38" t="s">
        <v>765</v>
      </c>
      <c r="E154" s="37"/>
      <c r="F154" s="38" t="s">
        <v>147</v>
      </c>
      <c r="G154" s="38">
        <v>1.4</v>
      </c>
      <c r="H154" s="41">
        <v>1.567E-2</v>
      </c>
      <c r="I154" t="s">
        <v>762</v>
      </c>
      <c r="J154" s="38" t="s">
        <v>1022</v>
      </c>
      <c r="K154" t="str">
        <f>INDEX(psegm!B:B,MATCH(RIGHT(contract!A154,4),psegm!A:A,0))&amp;" - "&amp;IF(MID(A154,2,2)="CA","Cash Advance",IF(MID(A154,2,2)="OC","OCT",IF(MID(A154,2,2)="PC","PWCB",IF(MID(A154,2,2)="RF","Refund",IF(MID(A154,2,2)="PU","Purchase")))))</f>
        <v>Visa Electron Credit - Purchase</v>
      </c>
      <c r="L154">
        <v>881</v>
      </c>
      <c r="M154">
        <v>451</v>
      </c>
      <c r="N154" t="str">
        <f t="shared" si="4"/>
        <v>INSERT INTO [dbo].[Contracts] ([Id], [ChargeCodes], [PPI], [PPC], [MerchanID], [Descriptions]) VALUES (881, 'APUVIC7', '1.4', '0.01567', 'Auchan', 'Visa Electron Credit - Purchase')</v>
      </c>
      <c r="O154" t="str">
        <f t="shared" si="5"/>
        <v>INSERT INTO [dbo].[Contracts] ([Id], [M1ChargeCodes], [M1PPI], [M1PPC], [M1MerchanID]) VALUES (451, 'APUVIC7', '1.4', '0.01567', 'MERCH00002')</v>
      </c>
    </row>
    <row r="155" spans="1:15" hidden="1" x14ac:dyDescent="0.3">
      <c r="A155" s="38" t="s">
        <v>148</v>
      </c>
      <c r="B155" s="38">
        <v>1.4</v>
      </c>
      <c r="C155" s="41">
        <v>1.567E-2</v>
      </c>
      <c r="D155" s="38" t="s">
        <v>765</v>
      </c>
      <c r="E155" s="37"/>
      <c r="F155" s="38" t="s">
        <v>148</v>
      </c>
      <c r="G155" s="38">
        <v>1.4</v>
      </c>
      <c r="H155" s="41">
        <v>1.567E-2</v>
      </c>
      <c r="I155" t="s">
        <v>762</v>
      </c>
      <c r="J155" s="38" t="s">
        <v>1023</v>
      </c>
      <c r="K155" t="str">
        <f>INDEX(psegm!B:B,MATCH(RIGHT(contract!A155,4),psegm!A:A,0))&amp;" - "&amp;IF(MID(A155,2,2)="CA","Cash Advance",IF(MID(A155,2,2)="OC","OCT",IF(MID(A155,2,2)="PC","PWCB",IF(MID(A155,2,2)="RF","Refund",IF(MID(A155,2,2)="PU","Purchase")))))</f>
        <v>Visa Debit Per - Purchase</v>
      </c>
      <c r="L155">
        <v>882</v>
      </c>
      <c r="M155">
        <v>452</v>
      </c>
      <c r="N155" t="str">
        <f t="shared" si="4"/>
        <v>INSERT INTO [dbo].[Contracts] ([Id], [ChargeCodes], [PPI], [PPC], [MerchanID], [Descriptions]) VALUES (882, 'APUVID1', '1.4', '0.01567', 'Auchan', 'Visa Debit Per - Purchase')</v>
      </c>
      <c r="O155" t="str">
        <f t="shared" si="5"/>
        <v>INSERT INTO [dbo].[Contracts] ([Id], [M1ChargeCodes], [M1PPI], [M1PPC], [M1MerchanID]) VALUES (452, 'APUVID1', '1.4', '0.01567', 'MERCH00002')</v>
      </c>
    </row>
    <row r="156" spans="1:15" hidden="1" x14ac:dyDescent="0.3">
      <c r="A156" s="38" t="s">
        <v>149</v>
      </c>
      <c r="B156" s="38">
        <v>1.4</v>
      </c>
      <c r="C156" s="41">
        <v>1.567E-2</v>
      </c>
      <c r="D156" s="38" t="s">
        <v>765</v>
      </c>
      <c r="E156" s="37"/>
      <c r="F156" s="38" t="s">
        <v>149</v>
      </c>
      <c r="G156" s="38">
        <v>1.4</v>
      </c>
      <c r="H156" s="41">
        <v>1.567E-2</v>
      </c>
      <c r="I156" t="s">
        <v>762</v>
      </c>
      <c r="J156" s="38" t="s">
        <v>1024</v>
      </c>
      <c r="K156" t="str">
        <f>INDEX(psegm!B:B,MATCH(RIGHT(contract!A156,4),psegm!A:A,0))&amp;" - "&amp;IF(MID(A156,2,2)="CA","Cash Advance",IF(MID(A156,2,2)="OC","OCT",IF(MID(A156,2,2)="PC","PWCB",IF(MID(A156,2,2)="RF","Refund",IF(MID(A156,2,2)="PU","Purchase")))))</f>
        <v>Visa Dr Per Int - Purchase</v>
      </c>
      <c r="L156">
        <v>883</v>
      </c>
      <c r="M156">
        <v>453</v>
      </c>
      <c r="N156" t="str">
        <f t="shared" si="4"/>
        <v>INSERT INTO [dbo].[Contracts] ([Id], [ChargeCodes], [PPI], [PPC], [MerchanID], [Descriptions]) VALUES (883, 'APUVID2', '1.4', '0.01567', 'Auchan', 'Visa Dr Per Int - Purchase')</v>
      </c>
      <c r="O156" t="str">
        <f t="shared" si="5"/>
        <v>INSERT INTO [dbo].[Contracts] ([Id], [M1ChargeCodes], [M1PPI], [M1PPC], [M1MerchanID]) VALUES (453, 'APUVID2', '1.4', '0.01567', 'MERCH00002')</v>
      </c>
    </row>
    <row r="157" spans="1:15" hidden="1" x14ac:dyDescent="0.3">
      <c r="A157" s="38" t="s">
        <v>150</v>
      </c>
      <c r="B157" s="38">
        <v>1.4</v>
      </c>
      <c r="C157" s="41">
        <v>1.567E-2</v>
      </c>
      <c r="D157" s="38" t="s">
        <v>765</v>
      </c>
      <c r="E157" s="37"/>
      <c r="F157" s="38" t="s">
        <v>150</v>
      </c>
      <c r="G157" s="38">
        <v>1.4</v>
      </c>
      <c r="H157" s="41">
        <v>1.567E-2</v>
      </c>
      <c r="I157" t="s">
        <v>762</v>
      </c>
      <c r="J157" s="38" t="s">
        <v>1025</v>
      </c>
      <c r="K157" t="str">
        <f>INDEX(psegm!B:B,MATCH(RIGHT(contract!A157,4),psegm!A:A,0))&amp;" - "&amp;IF(MID(A157,2,2)="CA","Cash Advance",IF(MID(A157,2,2)="OC","OCT",IF(MID(A157,2,2)="PC","PWCB",IF(MID(A157,2,2)="RF","Refund",IF(MID(A157,2,2)="PU","Purchase")))))</f>
        <v>Visa Debit Com - Purchase</v>
      </c>
      <c r="L157">
        <v>884</v>
      </c>
      <c r="M157">
        <v>454</v>
      </c>
      <c r="N157" t="str">
        <f t="shared" si="4"/>
        <v>INSERT INTO [dbo].[Contracts] ([Id], [ChargeCodes], [PPI], [PPC], [MerchanID], [Descriptions]) VALUES (884, 'APUVID3', '1.4', '0.01567', 'Auchan', 'Visa Debit Com - Purchase')</v>
      </c>
      <c r="O157" t="str">
        <f t="shared" si="5"/>
        <v>INSERT INTO [dbo].[Contracts] ([Id], [M1ChargeCodes], [M1PPI], [M1PPC], [M1MerchanID]) VALUES (454, 'APUVID3', '1.4', '0.01567', 'MERCH00002')</v>
      </c>
    </row>
    <row r="158" spans="1:15" hidden="1" x14ac:dyDescent="0.3">
      <c r="A158" s="38" t="s">
        <v>151</v>
      </c>
      <c r="B158" s="38">
        <v>1.4</v>
      </c>
      <c r="C158" s="41">
        <v>1.567E-2</v>
      </c>
      <c r="D158" s="38" t="s">
        <v>765</v>
      </c>
      <c r="E158" s="37"/>
      <c r="F158" s="38" t="s">
        <v>151</v>
      </c>
      <c r="G158" s="38">
        <v>1.4</v>
      </c>
      <c r="H158" s="41">
        <v>1.567E-2</v>
      </c>
      <c r="I158" t="s">
        <v>762</v>
      </c>
      <c r="J158" s="38" t="s">
        <v>1026</v>
      </c>
      <c r="K158" t="str">
        <f>INDEX(psegm!B:B,MATCH(RIGHT(contract!A158,4),psegm!A:A,0))&amp;" - "&amp;IF(MID(A158,2,2)="CA","Cash Advance",IF(MID(A158,2,2)="OC","OCT",IF(MID(A158,2,2)="PC","PWCB",IF(MID(A158,2,2)="RF","Refund",IF(MID(A158,2,2)="PU","Purchase")))))</f>
        <v>Visa Dr Com Intl - Purchase</v>
      </c>
      <c r="L158">
        <v>885</v>
      </c>
      <c r="M158">
        <v>455</v>
      </c>
      <c r="N158" t="str">
        <f t="shared" si="4"/>
        <v>INSERT INTO [dbo].[Contracts] ([Id], [ChargeCodes], [PPI], [PPC], [MerchanID], [Descriptions]) VALUES (885, 'APUVID4', '1.4', '0.01567', 'Auchan', 'Visa Dr Com Intl - Purchase')</v>
      </c>
      <c r="O158" t="str">
        <f t="shared" si="5"/>
        <v>INSERT INTO [dbo].[Contracts] ([Id], [M1ChargeCodes], [M1PPI], [M1PPC], [M1MerchanID]) VALUES (455, 'APUVID4', '1.4', '0.01567', 'MERCH00002')</v>
      </c>
    </row>
    <row r="159" spans="1:15" hidden="1" x14ac:dyDescent="0.3">
      <c r="A159" s="38" t="s">
        <v>180</v>
      </c>
      <c r="B159" s="38">
        <v>1.4</v>
      </c>
      <c r="C159" s="41">
        <v>1.567E-2</v>
      </c>
      <c r="D159" s="38" t="s">
        <v>765</v>
      </c>
      <c r="E159" s="37"/>
      <c r="F159" s="38" t="s">
        <v>180</v>
      </c>
      <c r="G159" s="38">
        <v>1.4</v>
      </c>
      <c r="H159" s="41">
        <v>1.567E-2</v>
      </c>
      <c r="I159" t="s">
        <v>762</v>
      </c>
      <c r="J159" s="38" t="s">
        <v>1027</v>
      </c>
      <c r="K159" t="str">
        <f>INDEX(psegm!B:B,MATCH(RIGHT(contract!A159,4),psegm!A:A,0))&amp;" - "&amp;IF(MID(A159,2,2)="CA","Cash Advance",IF(MID(A159,2,2)="OC","OCT",IF(MID(A159,2,2)="PC","PWCB",IF(MID(A159,2,2)="RF","Refund",IF(MID(A159,2,2)="PU","Purchase")))))</f>
        <v>Visa Electron - Purchase</v>
      </c>
      <c r="L159">
        <v>886</v>
      </c>
      <c r="M159">
        <v>456</v>
      </c>
      <c r="N159" t="str">
        <f t="shared" si="4"/>
        <v>INSERT INTO [dbo].[Contracts] ([Id], [ChargeCodes], [PPI], [PPC], [MerchanID], [Descriptions]) VALUES (886, 'APUVID5', '1.4', '0.01567', 'Auchan', 'Visa Electron - Purchase')</v>
      </c>
      <c r="O159" t="str">
        <f t="shared" si="5"/>
        <v>INSERT INTO [dbo].[Contracts] ([Id], [M1ChargeCodes], [M1PPI], [M1PPC], [M1MerchanID]) VALUES (456, 'APUVID5', '1.4', '0.01567', 'MERCH00002')</v>
      </c>
    </row>
    <row r="160" spans="1:15" hidden="1" x14ac:dyDescent="0.3">
      <c r="A160" s="38" t="s">
        <v>152</v>
      </c>
      <c r="B160" s="38">
        <v>1.4</v>
      </c>
      <c r="C160" s="41">
        <v>1.567E-2</v>
      </c>
      <c r="D160" s="38" t="s">
        <v>765</v>
      </c>
      <c r="E160" s="37"/>
      <c r="F160" s="38" t="s">
        <v>152</v>
      </c>
      <c r="G160" s="38">
        <v>1.4</v>
      </c>
      <c r="H160" s="41">
        <v>1.567E-2</v>
      </c>
      <c r="I160" t="s">
        <v>762</v>
      </c>
      <c r="J160" s="38" t="s">
        <v>1028</v>
      </c>
      <c r="K160" t="str">
        <f>INDEX(psegm!B:B,MATCH(RIGHT(contract!A160,4),psegm!A:A,0))&amp;" - "&amp;IF(MID(A160,2,2)="CA","Cash Advance",IF(MID(A160,2,2)="OC","OCT",IF(MID(A160,2,2)="PC","PWCB",IF(MID(A160,2,2)="RF","Refund",IF(MID(A160,2,2)="PU","Purchase")))))</f>
        <v>Visa Elec Per Int - Purchase</v>
      </c>
      <c r="L160">
        <v>887</v>
      </c>
      <c r="M160">
        <v>457</v>
      </c>
      <c r="N160" t="str">
        <f t="shared" si="4"/>
        <v>INSERT INTO [dbo].[Contracts] ([Id], [ChargeCodes], [PPI], [PPC], [MerchanID], [Descriptions]) VALUES (887, 'APUVID6', '1.4', '0.01567', 'Auchan', 'Visa Elec Per Int - Purchase')</v>
      </c>
      <c r="O160" t="str">
        <f t="shared" si="5"/>
        <v>INSERT INTO [dbo].[Contracts] ([Id], [M1ChargeCodes], [M1PPI], [M1PPC], [M1MerchanID]) VALUES (457, 'APUVID6', '1.4', '0.01567', 'MERCH00002')</v>
      </c>
    </row>
    <row r="161" spans="1:15" hidden="1" x14ac:dyDescent="0.3">
      <c r="A161" s="38" t="s">
        <v>181</v>
      </c>
      <c r="B161" s="38">
        <v>1.4</v>
      </c>
      <c r="C161" s="41">
        <v>1.567E-2</v>
      </c>
      <c r="D161" s="38" t="s">
        <v>765</v>
      </c>
      <c r="E161" s="37"/>
      <c r="F161" s="38" t="s">
        <v>181</v>
      </c>
      <c r="G161" s="38">
        <v>1.4</v>
      </c>
      <c r="H161" s="41">
        <v>1.567E-2</v>
      </c>
      <c r="I161" t="s">
        <v>762</v>
      </c>
      <c r="J161" s="38" t="s">
        <v>1029</v>
      </c>
      <c r="K161" t="str">
        <f>INDEX(psegm!B:B,MATCH(RIGHT(contract!A161,4),psegm!A:A,0))&amp;" - "&amp;IF(MID(A161,2,2)="CA","Cash Advance",IF(MID(A161,2,2)="OC","OCT",IF(MID(A161,2,2)="PC","PWCB",IF(MID(A161,2,2)="RF","Refund",IF(MID(A161,2,2)="PU","Purchase")))))</f>
        <v>All Star - Purchase</v>
      </c>
      <c r="L161">
        <v>888</v>
      </c>
      <c r="M161">
        <v>458</v>
      </c>
      <c r="N161" t="str">
        <f t="shared" si="4"/>
        <v>INSERT INTO [dbo].[Contracts] ([Id], [ChargeCodes], [PPI], [PPC], [MerchanID], [Descriptions]) VALUES (888, 'APUALLS', '1.4', '0.01567', 'Auchan', 'All Star - Purchase')</v>
      </c>
      <c r="O161" t="str">
        <f t="shared" si="5"/>
        <v>INSERT INTO [dbo].[Contracts] ([Id], [M1ChargeCodes], [M1PPI], [M1PPC], [M1MerchanID]) VALUES (458, 'APUALLS', '1.4', '0.01567', 'MERCH00002')</v>
      </c>
    </row>
    <row r="162" spans="1:15" hidden="1" x14ac:dyDescent="0.3">
      <c r="A162" s="38" t="s">
        <v>182</v>
      </c>
      <c r="B162" s="38">
        <v>1.4</v>
      </c>
      <c r="C162" s="41">
        <v>1.567E-2</v>
      </c>
      <c r="D162" s="38" t="s">
        <v>765</v>
      </c>
      <c r="E162" s="37"/>
      <c r="F162" s="38" t="s">
        <v>182</v>
      </c>
      <c r="G162" s="38">
        <v>1.4</v>
      </c>
      <c r="H162" s="41">
        <v>1.567E-2</v>
      </c>
      <c r="I162" t="s">
        <v>762</v>
      </c>
      <c r="J162" s="38" t="s">
        <v>1030</v>
      </c>
      <c r="K162" t="str">
        <f>INDEX(psegm!B:B,MATCH(RIGHT(contract!A162,2),psegm!A:A,0))&amp;" - "&amp;IF(MID(A162,2,2)="CA","Cash Advance",IF(MID(A162,2,2)="OC","OCT",IF(MID(A162,2,2)="PC","PWCB",IF(MID(A162,2,2)="RF","Refund",IF(MID(A162,2,2)="PU","Purchase")))))</f>
        <v>Diners Discover - Purchase</v>
      </c>
      <c r="L162">
        <v>889</v>
      </c>
      <c r="M162">
        <v>459</v>
      </c>
      <c r="N162" t="str">
        <f t="shared" si="4"/>
        <v>INSERT INTO [dbo].[Contracts] ([Id], [ChargeCodes], [PPI], [PPC], [MerchanID], [Descriptions]) VALUES (889, 'APUDD', '1.4', '0.01567', 'Auchan', 'Diners Discover - Purchase')</v>
      </c>
      <c r="O162" t="str">
        <f t="shared" si="5"/>
        <v>INSERT INTO [dbo].[Contracts] ([Id], [M1ChargeCodes], [M1PPI], [M1PPC], [M1MerchanID]) VALUES (459, 'APUDD', '1.4', '0.01567', 'MERCH00002')</v>
      </c>
    </row>
    <row r="163" spans="1:15" hidden="1" x14ac:dyDescent="0.3">
      <c r="A163" s="38" t="s">
        <v>183</v>
      </c>
      <c r="B163" s="38">
        <v>1.4</v>
      </c>
      <c r="C163" s="41">
        <v>1.567E-2</v>
      </c>
      <c r="D163" s="38" t="s">
        <v>765</v>
      </c>
      <c r="E163" s="37"/>
      <c r="F163" s="38" t="s">
        <v>183</v>
      </c>
      <c r="G163" s="38">
        <v>1.4</v>
      </c>
      <c r="H163" s="41">
        <v>1.567E-2</v>
      </c>
      <c r="I163" t="s">
        <v>762</v>
      </c>
      <c r="J163" s="38" t="s">
        <v>1031</v>
      </c>
      <c r="K163" t="str">
        <f>INDEX(psegm!B:B,MATCH(RIGHT(contract!A163,2),psegm!A:A,0))&amp;" - "&amp;IF(MID(A163,2,2)="CA","Cash Advance",IF(MID(A163,2,2)="OC","OCT",IF(MID(A163,2,2)="PC","PWCB",IF(MID(A163,2,2)="RF","Refund",IF(MID(A163,2,2)="PU","Purchase")))))</f>
        <v>Diners International - Purchase</v>
      </c>
      <c r="L163">
        <v>890</v>
      </c>
      <c r="M163">
        <v>460</v>
      </c>
      <c r="N163" t="str">
        <f t="shared" si="4"/>
        <v>INSERT INTO [dbo].[Contracts] ([Id], [ChargeCodes], [PPI], [PPC], [MerchanID], [Descriptions]) VALUES (890, 'APUDI', '1.4', '0.01567', 'Auchan', 'Diners International - Purchase')</v>
      </c>
      <c r="O163" t="str">
        <f t="shared" si="5"/>
        <v>INSERT INTO [dbo].[Contracts] ([Id], [M1ChargeCodes], [M1PPI], [M1PPC], [M1MerchanID]) VALUES (460, 'APUDI', '1.4', '0.01567', 'MERCH00002')</v>
      </c>
    </row>
    <row r="164" spans="1:15" hidden="1" x14ac:dyDescent="0.3">
      <c r="A164" s="38" t="s">
        <v>184</v>
      </c>
      <c r="B164" s="38">
        <v>1.4</v>
      </c>
      <c r="C164" s="41">
        <v>1.567E-2</v>
      </c>
      <c r="D164" s="38" t="s">
        <v>765</v>
      </c>
      <c r="E164" s="37"/>
      <c r="F164" s="38" t="s">
        <v>184</v>
      </c>
      <c r="G164" s="38">
        <v>1.4</v>
      </c>
      <c r="H164" s="41">
        <v>1.567E-2</v>
      </c>
      <c r="I164" t="s">
        <v>762</v>
      </c>
      <c r="J164" s="38" t="s">
        <v>1032</v>
      </c>
      <c r="K164" t="str">
        <f>INDEX(psegm!B:B,MATCH(RIGHT(contract!A164,3),psegm!A:A,0))&amp;" - "&amp;IF(MID(A164,2,2)="CA","Cash Advance",IF(MID(A164,2,2)="OC","OCT",IF(MID(A164,2,2)="PC","PWCB",IF(MID(A164,2,2)="RF","Refund",IF(MID(A164,2,2)="PU","Purchase")))))</f>
        <v>Diners UK (Elavon) - Purchase</v>
      </c>
      <c r="L164">
        <v>891</v>
      </c>
      <c r="M164">
        <v>461</v>
      </c>
      <c r="N164" t="str">
        <f t="shared" si="4"/>
        <v>INSERT INTO [dbo].[Contracts] ([Id], [ChargeCodes], [PPI], [PPC], [MerchanID], [Descriptions]) VALUES (891, 'APUDUK', '1.4', '0.01567', 'Auchan', 'Diners UK (Elavon) - Purchase')</v>
      </c>
      <c r="O164" t="str">
        <f t="shared" si="5"/>
        <v>INSERT INTO [dbo].[Contracts] ([Id], [M1ChargeCodes], [M1PPI], [M1PPC], [M1MerchanID]) VALUES (461, 'APUDUK', '1.4', '0.01567', 'MERCH00002')</v>
      </c>
    </row>
    <row r="165" spans="1:15" hidden="1" x14ac:dyDescent="0.3">
      <c r="A165" s="38" t="s">
        <v>185</v>
      </c>
      <c r="B165" s="38">
        <v>1.4</v>
      </c>
      <c r="C165" s="41">
        <v>1.567E-2</v>
      </c>
      <c r="D165" s="38" t="s">
        <v>765</v>
      </c>
      <c r="E165" s="37"/>
      <c r="F165" s="38" t="s">
        <v>185</v>
      </c>
      <c r="G165" s="38">
        <v>1.4</v>
      </c>
      <c r="H165" s="41">
        <v>1.567E-2</v>
      </c>
      <c r="I165" t="s">
        <v>762</v>
      </c>
      <c r="J165" s="38" t="s">
        <v>914</v>
      </c>
      <c r="K165" t="str">
        <f>INDEX(psegm!B:B,MATCH(RIGHT(contract!A165,5),psegm!A:A,0))&amp;" - "&amp;IF(MID(A165,2,2)="CA","Cash Advance",IF(MID(A165,2,2)="OC","OCT",IF(MID(A165,2,2)="PC","PWCB",IF(MID(A165,2,2)="RF","Refund",IF(MID(A165,2,2)="PU","Purchase")))))</f>
        <v>LaSer - Purchase</v>
      </c>
      <c r="L165">
        <v>892</v>
      </c>
      <c r="M165">
        <v>462</v>
      </c>
      <c r="N165" t="str">
        <f t="shared" si="4"/>
        <v>INSERT INTO [dbo].[Contracts] ([Id], [ChargeCodes], [PPI], [PPC], [MerchanID], [Descriptions]) VALUES (892, 'APULASER', '1.4', '0.01567', 'Auchan', 'LaSer - Purchase')</v>
      </c>
      <c r="O165" t="str">
        <f t="shared" si="5"/>
        <v>INSERT INTO [dbo].[Contracts] ([Id], [M1ChargeCodes], [M1PPI], [M1PPC], [M1MerchanID]) VALUES (462, 'APULASER', '1.4', '0.01567', 'MERCH00002')</v>
      </c>
    </row>
    <row r="166" spans="1:15" hidden="1" x14ac:dyDescent="0.3">
      <c r="A166" s="38" t="s">
        <v>153</v>
      </c>
      <c r="B166" s="38">
        <v>1.4</v>
      </c>
      <c r="C166" s="41">
        <v>1.567E-2</v>
      </c>
      <c r="D166" s="38" t="s">
        <v>765</v>
      </c>
      <c r="E166" s="37"/>
      <c r="F166" s="38" t="s">
        <v>153</v>
      </c>
      <c r="G166" s="38">
        <v>1.4</v>
      </c>
      <c r="H166" s="41">
        <v>1.567E-2</v>
      </c>
      <c r="I166" t="s">
        <v>762</v>
      </c>
      <c r="J166" s="38" t="s">
        <v>915</v>
      </c>
      <c r="K166" t="str">
        <f>INDEX(psegm!B:B,MATCH(RIGHT(contract!A166,5),psegm!A:A,0))&amp;" - "&amp;IF(MID(A166,2,2)="CA","Cash Advance",IF(MID(A166,2,2)="OC","OCT",IF(MID(A166,2,2)="PC","PWCB",IF(MID(A166,2,2)="RF","Refund",IF(MID(A166,2,2)="PU","Purchase")))))</f>
        <v>JCB UK - Purchase</v>
      </c>
      <c r="L166">
        <v>893</v>
      </c>
      <c r="M166">
        <v>463</v>
      </c>
      <c r="N166" t="str">
        <f t="shared" si="4"/>
        <v>INSERT INTO [dbo].[Contracts] ([Id], [ChargeCodes], [PPI], [PPC], [MerchanID], [Descriptions]) VALUES (893, 'APUJCBUK', '1.4', '0.01567', 'Auchan', 'JCB UK - Purchase')</v>
      </c>
      <c r="O166" t="str">
        <f t="shared" si="5"/>
        <v>INSERT INTO [dbo].[Contracts] ([Id], [M1ChargeCodes], [M1PPI], [M1PPC], [M1MerchanID]) VALUES (463, 'APUJCBUK', '1.4', '0.01567', 'MERCH00002')</v>
      </c>
    </row>
    <row r="167" spans="1:15" hidden="1" x14ac:dyDescent="0.3">
      <c r="A167" s="38" t="s">
        <v>154</v>
      </c>
      <c r="B167" s="38">
        <v>1.4</v>
      </c>
      <c r="C167" s="41">
        <v>1.567E-2</v>
      </c>
      <c r="D167" s="38" t="s">
        <v>765</v>
      </c>
      <c r="E167" s="37"/>
      <c r="F167" s="38" t="s">
        <v>154</v>
      </c>
      <c r="G167" s="38">
        <v>1.4</v>
      </c>
      <c r="H167" s="41">
        <v>1.567E-2</v>
      </c>
      <c r="I167" t="s">
        <v>762</v>
      </c>
      <c r="J167" s="38" t="s">
        <v>916</v>
      </c>
      <c r="K167" t="str">
        <f>INDEX(psegm!B:B,MATCH(RIGHT(contract!A167,6),psegm!A:A,0))&amp;" - "&amp;IF(MID(A167,2,2)="CA","Cash Advance",IF(MID(A167,2,2)="OC","OCT",IF(MID(A167,2,2)="PC","PWCB",IF(MID(A167,2,2)="RF","Refund",IF(MID(A167,2,2)="PU","Purchase")))))</f>
        <v>JCB ROI - Purchase</v>
      </c>
      <c r="L167">
        <v>894</v>
      </c>
      <c r="M167">
        <v>464</v>
      </c>
      <c r="N167" t="str">
        <f t="shared" si="4"/>
        <v>INSERT INTO [dbo].[Contracts] ([Id], [ChargeCodes], [PPI], [PPC], [MerchanID], [Descriptions]) VALUES (894, 'APUJCBROI', '1.4', '0.01567', 'Auchan', 'JCB ROI - Purchase')</v>
      </c>
      <c r="O167" t="str">
        <f t="shared" si="5"/>
        <v>INSERT INTO [dbo].[Contracts] ([Id], [M1ChargeCodes], [M1PPI], [M1PPC], [M1MerchanID]) VALUES (464, 'APUJCBROI', '1.4', '0.01567', 'MERCH00002')</v>
      </c>
    </row>
    <row r="168" spans="1:15" hidden="1" x14ac:dyDescent="0.3">
      <c r="A168" s="38" t="s">
        <v>155</v>
      </c>
      <c r="B168" s="38">
        <v>1.4</v>
      </c>
      <c r="C168" s="41">
        <v>1.567E-2</v>
      </c>
      <c r="D168" s="38" t="s">
        <v>765</v>
      </c>
      <c r="E168" s="37"/>
      <c r="F168" s="38" t="s">
        <v>155</v>
      </c>
      <c r="G168" s="38">
        <v>1.4</v>
      </c>
      <c r="H168" s="41">
        <v>1.567E-2</v>
      </c>
      <c r="I168" t="s">
        <v>762</v>
      </c>
      <c r="J168" s="38" t="s">
        <v>917</v>
      </c>
      <c r="K168" t="str">
        <f>INDEX(psegm!B:B,MATCH(RIGHT(contract!A168,4),psegm!A:A,0))&amp;" - "&amp;IF(MID(A168,2,2)="CA","Cash Advance",IF(MID(A168,2,2)="OC","OCT",IF(MID(A168,2,2)="PC","PWCB",IF(MID(A168,2,2)="RF","Refund",IF(MID(A168,2,2)="PU","Purchase")))))</f>
        <v>JCB International - Purchase</v>
      </c>
      <c r="L168">
        <v>895</v>
      </c>
      <c r="M168">
        <v>465</v>
      </c>
      <c r="N168" t="str">
        <f t="shared" si="4"/>
        <v>INSERT INTO [dbo].[Contracts] ([Id], [ChargeCodes], [PPI], [PPC], [MerchanID], [Descriptions]) VALUES (895, 'APUJCBI', '1.4', '0.01567', 'Auchan', 'JCB International - Purchase')</v>
      </c>
      <c r="O168" t="str">
        <f t="shared" si="5"/>
        <v>INSERT INTO [dbo].[Contracts] ([Id], [M1ChargeCodes], [M1PPI], [M1PPC], [M1MerchanID]) VALUES (465, 'APUJCBI', '1.4', '0.01567', 'MERCH00002')</v>
      </c>
    </row>
    <row r="169" spans="1:15" hidden="1" x14ac:dyDescent="0.3">
      <c r="A169" s="38" t="s">
        <v>156</v>
      </c>
      <c r="B169" s="38">
        <v>1.4</v>
      </c>
      <c r="C169" s="41">
        <v>1.567E-2</v>
      </c>
      <c r="D169" s="38" t="s">
        <v>765</v>
      </c>
      <c r="E169" s="37"/>
      <c r="F169" s="38" t="s">
        <v>156</v>
      </c>
      <c r="G169" s="38">
        <v>1.4</v>
      </c>
      <c r="H169" s="41">
        <v>1.567E-2</v>
      </c>
      <c r="I169" t="s">
        <v>762</v>
      </c>
      <c r="J169" s="38" t="s">
        <v>1033</v>
      </c>
      <c r="K169" t="str">
        <f>INDEX(psegm!B:B,MATCH(RIGHT(contract!A169,2),psegm!A:A,0))&amp;" - "&amp;IF(MID(A169,2,2)="CA","Cash Advance",IF(MID(A169,2,2)="OC","OCT",IF(MID(A169,2,2)="PC","PWCB",IF(MID(A169,2,2)="RF","Refund",IF(MID(A169,2,2)="PU","Purchase")))))</f>
        <v>Keyfuels - Purchase</v>
      </c>
      <c r="L169">
        <v>896</v>
      </c>
      <c r="M169">
        <v>466</v>
      </c>
      <c r="N169" t="str">
        <f t="shared" si="4"/>
        <v>INSERT INTO [dbo].[Contracts] ([Id], [ChargeCodes], [PPI], [PPC], [MerchanID], [Descriptions]) VALUES (896, 'APUKF', '1.4', '0.01567', 'Auchan', 'Keyfuels - Purchase')</v>
      </c>
      <c r="O169" t="str">
        <f t="shared" si="5"/>
        <v>INSERT INTO [dbo].[Contracts] ([Id], [M1ChargeCodes], [M1PPI], [M1PPC], [M1MerchanID]) VALUES (466, 'APUKF', '1.4', '0.01567', 'MERCH00002')</v>
      </c>
    </row>
    <row r="170" spans="1:15" hidden="1" x14ac:dyDescent="0.3">
      <c r="A170" s="38" t="s">
        <v>157</v>
      </c>
      <c r="B170" s="38">
        <v>1.4</v>
      </c>
      <c r="C170" s="41">
        <v>1.567E-2</v>
      </c>
      <c r="D170" s="38" t="s">
        <v>765</v>
      </c>
      <c r="E170" s="37"/>
      <c r="F170" s="38" t="s">
        <v>157</v>
      </c>
      <c r="G170" s="38">
        <v>1.4</v>
      </c>
      <c r="H170" s="41">
        <v>1.567E-2</v>
      </c>
      <c r="I170" t="s">
        <v>762</v>
      </c>
      <c r="J170" s="38" t="s">
        <v>1034</v>
      </c>
      <c r="K170" t="str">
        <f>INDEX(psegm!B:B,MATCH(RIGHT(contract!A170,5),psegm!A:A,0))&amp;" - "&amp;IF(MID(A170,2,2)="CA","Cash Advance",IF(MID(A170,2,2)="OC","OCT",IF(MID(A170,2,2)="PC","PWCB",IF(MID(A170,2,2)="RF","Refund",IF(MID(A170,2,2)="PU","Purchase")))))</f>
        <v>Sears - Purchase</v>
      </c>
      <c r="L170">
        <v>897</v>
      </c>
      <c r="M170">
        <v>467</v>
      </c>
      <c r="N170" t="str">
        <f t="shared" si="4"/>
        <v>INSERT INTO [dbo].[Contracts] ([Id], [ChargeCodes], [PPI], [PPC], [MerchanID], [Descriptions]) VALUES (897, 'APUSTARS', '1.4', '0.01567', 'Auchan', 'Sears - Purchase')</v>
      </c>
      <c r="O170" t="str">
        <f t="shared" si="5"/>
        <v>INSERT INTO [dbo].[Contracts] ([Id], [M1ChargeCodes], [M1PPI], [M1PPC], [M1MerchanID]) VALUES (467, 'APUSTARS', '1.4', '0.01567', 'MERCH00002')</v>
      </c>
    </row>
    <row r="171" spans="1:15" hidden="1" x14ac:dyDescent="0.3">
      <c r="A171" s="38" t="s">
        <v>659</v>
      </c>
      <c r="B171" s="38">
        <v>1.5</v>
      </c>
      <c r="C171" s="41">
        <v>1.567E-2</v>
      </c>
      <c r="D171" s="38" t="s">
        <v>765</v>
      </c>
      <c r="E171" s="37"/>
      <c r="F171" s="38" t="s">
        <v>659</v>
      </c>
      <c r="G171" s="38">
        <v>1.5</v>
      </c>
      <c r="H171" s="41">
        <v>1.567E-2</v>
      </c>
      <c r="I171" t="s">
        <v>762</v>
      </c>
      <c r="J171" s="38" t="s">
        <v>1035</v>
      </c>
      <c r="K171" t="str">
        <f>INDEX(psegm!B:B,MATCH(RIGHT(contract!A171,4),psegm!A:A,0))&amp;" - "&amp;IF(MID(A171,2,2)="CA","Cash Advance",IF(MID(A171,2,2)="OC","OCT",IF(MID(A171,2,2)="PC","PWCB",IF(MID(A171,2,2)="RF","Refund",IF(MID(A171,2,2)="PU","Purchase")))))</f>
        <v>MasterCard Cr Per - Refund</v>
      </c>
      <c r="L171">
        <v>898</v>
      </c>
      <c r="M171">
        <v>468</v>
      </c>
      <c r="N171" t="str">
        <f t="shared" si="4"/>
        <v>INSERT INTO [dbo].[Contracts] ([Id], [ChargeCodes], [PPI], [PPC], [MerchanID], [Descriptions]) VALUES (898, 'ARFMCC1', '1.5', '0.01567', 'Auchan', 'MasterCard Cr Per - Refund')</v>
      </c>
      <c r="O171" t="str">
        <f t="shared" si="5"/>
        <v>INSERT INTO [dbo].[Contracts] ([Id], [M1ChargeCodes], [M1PPI], [M1PPC], [M1MerchanID]) VALUES (468, 'ARFMCC1', '1.5', '0.01567', 'MERCH00002')</v>
      </c>
    </row>
    <row r="172" spans="1:15" hidden="1" x14ac:dyDescent="0.3">
      <c r="A172" s="38" t="s">
        <v>186</v>
      </c>
      <c r="B172" s="38">
        <v>1.5</v>
      </c>
      <c r="C172" s="41">
        <v>1.567E-2</v>
      </c>
      <c r="D172" s="38" t="s">
        <v>765</v>
      </c>
      <c r="E172" s="37"/>
      <c r="F172" s="38" t="s">
        <v>186</v>
      </c>
      <c r="G172" s="38">
        <v>1.5</v>
      </c>
      <c r="H172" s="41">
        <v>1.567E-2</v>
      </c>
      <c r="I172" t="s">
        <v>762</v>
      </c>
      <c r="J172" s="38" t="s">
        <v>1036</v>
      </c>
      <c r="K172" t="str">
        <f>INDEX(psegm!B:B,MATCH(RIGHT(contract!A172,4),psegm!A:A,0))&amp;" - "&amp;IF(MID(A172,2,2)="CA","Cash Advance",IF(MID(A172,2,2)="OC","OCT",IF(MID(A172,2,2)="PC","PWCB",IF(MID(A172,2,2)="RF","Refund",IF(MID(A172,2,2)="PU","Purchase")))))</f>
        <v>MasterCard Business - Refund</v>
      </c>
      <c r="L172">
        <v>899</v>
      </c>
      <c r="M172">
        <v>469</v>
      </c>
      <c r="N172" t="str">
        <f t="shared" si="4"/>
        <v>INSERT INTO [dbo].[Contracts] ([Id], [ChargeCodes], [PPI], [PPC], [MerchanID], [Descriptions]) VALUES (899, 'ARFMCC2', '1.5', '0.01567', 'Auchan', 'MasterCard Business - Refund')</v>
      </c>
      <c r="O172" t="str">
        <f t="shared" si="5"/>
        <v>INSERT INTO [dbo].[Contracts] ([Id], [M1ChargeCodes], [M1PPI], [M1PPC], [M1MerchanID]) VALUES (469, 'ARFMCC2', '1.5', '0.01567', 'MERCH00002')</v>
      </c>
    </row>
    <row r="173" spans="1:15" hidden="1" x14ac:dyDescent="0.3">
      <c r="A173" s="38" t="s">
        <v>187</v>
      </c>
      <c r="B173" s="38">
        <v>1.5</v>
      </c>
      <c r="C173" s="41">
        <v>1.567E-2</v>
      </c>
      <c r="D173" s="38" t="s">
        <v>765</v>
      </c>
      <c r="E173" s="37"/>
      <c r="F173" s="38" t="s">
        <v>187</v>
      </c>
      <c r="G173" s="38">
        <v>1.5</v>
      </c>
      <c r="H173" s="41">
        <v>1.567E-2</v>
      </c>
      <c r="I173" t="s">
        <v>762</v>
      </c>
      <c r="J173" s="38" t="s">
        <v>1037</v>
      </c>
      <c r="K173" t="str">
        <f>INDEX(psegm!B:B,MATCH(RIGHT(contract!A173,4),psegm!A:A,0))&amp;" - "&amp;IF(MID(A173,2,2)="CA","Cash Advance",IF(MID(A173,2,2)="OC","OCT",IF(MID(A173,2,2)="PC","PWCB",IF(MID(A173,2,2)="RF","Refund",IF(MID(A173,2,2)="PU","Purchase")))))</f>
        <v>MasterCard Fleet - Refund</v>
      </c>
      <c r="L173">
        <v>900</v>
      </c>
      <c r="M173">
        <v>470</v>
      </c>
      <c r="N173" t="str">
        <f t="shared" si="4"/>
        <v>INSERT INTO [dbo].[Contracts] ([Id], [ChargeCodes], [PPI], [PPC], [MerchanID], [Descriptions]) VALUES (900, 'ARFMCC3', '1.5', '0.01567', 'Auchan', 'MasterCard Fleet - Refund')</v>
      </c>
      <c r="O173" t="str">
        <f t="shared" si="5"/>
        <v>INSERT INTO [dbo].[Contracts] ([Id], [M1ChargeCodes], [M1PPI], [M1PPC], [M1MerchanID]) VALUES (470, 'ARFMCC3', '1.5', '0.01567', 'MERCH00002')</v>
      </c>
    </row>
    <row r="174" spans="1:15" hidden="1" x14ac:dyDescent="0.3">
      <c r="A174" s="38" t="s">
        <v>188</v>
      </c>
      <c r="B174" s="38">
        <v>1.5</v>
      </c>
      <c r="C174" s="41">
        <v>1.567E-2</v>
      </c>
      <c r="D174" s="38" t="s">
        <v>765</v>
      </c>
      <c r="E174" s="37"/>
      <c r="F174" s="38" t="s">
        <v>188</v>
      </c>
      <c r="G174" s="38">
        <v>1.5</v>
      </c>
      <c r="H174" s="41">
        <v>1.567E-2</v>
      </c>
      <c r="I174" t="s">
        <v>762</v>
      </c>
      <c r="J174" s="38" t="s">
        <v>1038</v>
      </c>
      <c r="K174" t="str">
        <f>INDEX(psegm!B:B,MATCH(RIGHT(contract!A174,4),psegm!A:A,0))&amp;" - "&amp;IF(MID(A174,2,2)="CA","Cash Advance",IF(MID(A174,2,2)="OC","OCT",IF(MID(A174,2,2)="PC","PWCB",IF(MID(A174,2,2)="RF","Refund",IF(MID(A174,2,2)="PU","Purchase")))))</f>
        <v>MasterCard Corporate - Refund</v>
      </c>
      <c r="L174">
        <v>901</v>
      </c>
      <c r="M174">
        <v>471</v>
      </c>
      <c r="N174" t="str">
        <f t="shared" si="4"/>
        <v>INSERT INTO [dbo].[Contracts] ([Id], [ChargeCodes], [PPI], [PPC], [MerchanID], [Descriptions]) VALUES (901, 'ARFMCC4', '1.5', '0.01567', 'Auchan', 'MasterCard Corporate - Refund')</v>
      </c>
      <c r="O174" t="str">
        <f t="shared" si="5"/>
        <v>INSERT INTO [dbo].[Contracts] ([Id], [M1ChargeCodes], [M1PPI], [M1PPC], [M1MerchanID]) VALUES (471, 'ARFMCC4', '1.5', '0.01567', 'MERCH00002')</v>
      </c>
    </row>
    <row r="175" spans="1:15" hidden="1" x14ac:dyDescent="0.3">
      <c r="A175" s="38" t="s">
        <v>189</v>
      </c>
      <c r="B175" s="38">
        <v>1.5</v>
      </c>
      <c r="C175" s="41">
        <v>1.567E-2</v>
      </c>
      <c r="D175" s="38" t="s">
        <v>765</v>
      </c>
      <c r="E175" s="37"/>
      <c r="F175" s="38" t="s">
        <v>189</v>
      </c>
      <c r="G175" s="38">
        <v>1.5</v>
      </c>
      <c r="H175" s="41">
        <v>1.567E-2</v>
      </c>
      <c r="I175" t="s">
        <v>762</v>
      </c>
      <c r="J175" s="38" t="s">
        <v>1039</v>
      </c>
      <c r="K175" t="str">
        <f>INDEX(psegm!B:B,MATCH(RIGHT(contract!A175,4),psegm!A:A,0))&amp;" - "&amp;IF(MID(A175,2,2)="CA","Cash Advance",IF(MID(A175,2,2)="OC","OCT",IF(MID(A175,2,2)="PC","PWCB",IF(MID(A175,2,2)="RF","Refund",IF(MID(A175,2,2)="PU","Purchase")))))</f>
        <v>MasterCard Purchase - Refund</v>
      </c>
      <c r="L175">
        <v>902</v>
      </c>
      <c r="M175">
        <v>472</v>
      </c>
      <c r="N175" t="str">
        <f t="shared" si="4"/>
        <v>INSERT INTO [dbo].[Contracts] ([Id], [ChargeCodes], [PPI], [PPC], [MerchanID], [Descriptions]) VALUES (902, 'ARFMCC5', '1.5', '0.01567', 'Auchan', 'MasterCard Purchase - Refund')</v>
      </c>
      <c r="O175" t="str">
        <f t="shared" si="5"/>
        <v>INSERT INTO [dbo].[Contracts] ([Id], [M1ChargeCodes], [M1PPI], [M1PPC], [M1MerchanID]) VALUES (472, 'ARFMCC5', '1.5', '0.01567', 'MERCH00002')</v>
      </c>
    </row>
    <row r="176" spans="1:15" hidden="1" x14ac:dyDescent="0.3">
      <c r="A176" s="38" t="s">
        <v>190</v>
      </c>
      <c r="B176" s="38">
        <v>1.5</v>
      </c>
      <c r="C176" s="41">
        <v>1.567E-2</v>
      </c>
      <c r="D176" s="38" t="s">
        <v>765</v>
      </c>
      <c r="E176" s="37"/>
      <c r="F176" s="38" t="s">
        <v>190</v>
      </c>
      <c r="G176" s="38">
        <v>1.5</v>
      </c>
      <c r="H176" s="41">
        <v>1.567E-2</v>
      </c>
      <c r="I176" t="s">
        <v>762</v>
      </c>
      <c r="J176" s="38" t="s">
        <v>1040</v>
      </c>
      <c r="K176" t="str">
        <f>INDEX(psegm!B:B,MATCH(RIGHT(contract!A176,4),psegm!A:A,0))&amp;" - "&amp;IF(MID(A176,2,2)="CA","Cash Advance",IF(MID(A176,2,2)="OC","OCT",IF(MID(A176,2,2)="PC","PWCB",IF(MID(A176,2,2)="RF","Refund",IF(MID(A176,2,2)="PU","Purchase")))))</f>
        <v>MasterCard Signia - Refund</v>
      </c>
      <c r="L176">
        <v>903</v>
      </c>
      <c r="M176">
        <v>473</v>
      </c>
      <c r="N176" t="str">
        <f t="shared" si="4"/>
        <v>INSERT INTO [dbo].[Contracts] ([Id], [ChargeCodes], [PPI], [PPC], [MerchanID], [Descriptions]) VALUES (903, 'ARFMCC6', '1.5', '0.01567', 'Auchan', 'MasterCard Signia - Refund')</v>
      </c>
      <c r="O176" t="str">
        <f t="shared" si="5"/>
        <v>INSERT INTO [dbo].[Contracts] ([Id], [M1ChargeCodes], [M1PPI], [M1PPC], [M1MerchanID]) VALUES (473, 'ARFMCC6', '1.5', '0.01567', 'MERCH00002')</v>
      </c>
    </row>
    <row r="177" spans="1:15" hidden="1" x14ac:dyDescent="0.3">
      <c r="A177" s="38" t="s">
        <v>191</v>
      </c>
      <c r="B177" s="38">
        <v>1.5</v>
      </c>
      <c r="C177" s="41">
        <v>1.567E-2</v>
      </c>
      <c r="D177" s="38" t="s">
        <v>765</v>
      </c>
      <c r="E177" s="37"/>
      <c r="F177" s="38" t="s">
        <v>191</v>
      </c>
      <c r="G177" s="38">
        <v>1.5</v>
      </c>
      <c r="H177" s="41">
        <v>1.567E-2</v>
      </c>
      <c r="I177" t="s">
        <v>762</v>
      </c>
      <c r="J177" s="38" t="s">
        <v>1041</v>
      </c>
      <c r="K177" t="str">
        <f>INDEX(psegm!B:B,MATCH(RIGHT(contract!A177,4),psegm!A:A,0))&amp;" - "&amp;IF(MID(A177,2,2)="CA","Cash Advance",IF(MID(A177,2,2)="OC","OCT",IF(MID(A177,2,2)="PC","PWCB",IF(MID(A177,2,2)="RF","Refund",IF(MID(A177,2,2)="PU","Purchase")))))</f>
        <v>MasterCard World - Refund</v>
      </c>
      <c r="L177">
        <v>904</v>
      </c>
      <c r="M177">
        <v>474</v>
      </c>
      <c r="N177" t="str">
        <f t="shared" si="4"/>
        <v>INSERT INTO [dbo].[Contracts] ([Id], [ChargeCodes], [PPI], [PPC], [MerchanID], [Descriptions]) VALUES (904, 'ARFMCC7', '1.5', '0.01567', 'Auchan', 'MasterCard World - Refund')</v>
      </c>
      <c r="O177" t="str">
        <f t="shared" si="5"/>
        <v>INSERT INTO [dbo].[Contracts] ([Id], [M1ChargeCodes], [M1PPI], [M1PPC], [M1MerchanID]) VALUES (474, 'ARFMCC7', '1.5', '0.01567', 'MERCH00002')</v>
      </c>
    </row>
    <row r="178" spans="1:15" hidden="1" x14ac:dyDescent="0.3">
      <c r="A178" s="38" t="s">
        <v>192</v>
      </c>
      <c r="B178" s="38">
        <v>1.5</v>
      </c>
      <c r="C178" s="41">
        <v>1.567E-2</v>
      </c>
      <c r="D178" s="38" t="s">
        <v>765</v>
      </c>
      <c r="E178" s="37"/>
      <c r="F178" s="38" t="s">
        <v>192</v>
      </c>
      <c r="G178" s="38">
        <v>1.5</v>
      </c>
      <c r="H178" s="41">
        <v>1.567E-2</v>
      </c>
      <c r="I178" t="s">
        <v>762</v>
      </c>
      <c r="J178" s="38" t="s">
        <v>1042</v>
      </c>
      <c r="K178" t="str">
        <f>INDEX(psegm!B:B,MATCH(RIGHT(contract!A178,4),psegm!A:A,0))&amp;" - "&amp;IF(MID(A178,2,2)="CA","Cash Advance",IF(MID(A178,2,2)="OC","OCT",IF(MID(A178,2,2)="PC","PWCB",IF(MID(A178,2,2)="RF","Refund",IF(MID(A178,2,2)="PU","Purchase")))))</f>
        <v>MasterCard Comm - Refund</v>
      </c>
      <c r="L178">
        <v>905</v>
      </c>
      <c r="M178">
        <v>475</v>
      </c>
      <c r="N178" t="str">
        <f t="shared" si="4"/>
        <v>INSERT INTO [dbo].[Contracts] ([Id], [ChargeCodes], [PPI], [PPC], [MerchanID], [Descriptions]) VALUES (905, 'ARFMCC8', '1.5', '0.01567', 'Auchan', 'MasterCard Comm - Refund')</v>
      </c>
      <c r="O178" t="str">
        <f t="shared" si="5"/>
        <v>INSERT INTO [dbo].[Contracts] ([Id], [M1ChargeCodes], [M1PPI], [M1PPC], [M1MerchanID]) VALUES (475, 'ARFMCC8', '1.5', '0.01567', 'MERCH00002')</v>
      </c>
    </row>
    <row r="179" spans="1:15" hidden="1" x14ac:dyDescent="0.3">
      <c r="A179" s="38" t="s">
        <v>193</v>
      </c>
      <c r="B179" s="38">
        <v>1.5</v>
      </c>
      <c r="C179" s="41">
        <v>1.567E-2</v>
      </c>
      <c r="D179" s="38" t="s">
        <v>765</v>
      </c>
      <c r="E179" s="37"/>
      <c r="F179" s="38" t="s">
        <v>193</v>
      </c>
      <c r="G179" s="38">
        <v>1.5</v>
      </c>
      <c r="H179" s="41">
        <v>1.567E-2</v>
      </c>
      <c r="I179" t="s">
        <v>762</v>
      </c>
      <c r="J179" s="38" t="s">
        <v>1035</v>
      </c>
      <c r="K179" t="str">
        <f>INDEX(psegm!B:B,MATCH(RIGHT(contract!A179,4),psegm!A:A,0))&amp;" - "&amp;IF(MID(A179,2,2)="CA","Cash Advance",IF(MID(A179,2,2)="OC","OCT",IF(MID(A179,2,2)="PC","PWCB",IF(MID(A179,2,2)="RF","Refund",IF(MID(A179,2,2)="PU","Purchase")))))</f>
        <v>MasterCard Cr Per - Refund</v>
      </c>
      <c r="L179">
        <v>906</v>
      </c>
      <c r="M179">
        <v>476</v>
      </c>
      <c r="N179" t="str">
        <f t="shared" si="4"/>
        <v>INSERT INTO [dbo].[Contracts] ([Id], [ChargeCodes], [PPI], [PPC], [MerchanID], [Descriptions]) VALUES (906, 'ARFMCC9', '1.5', '0.01567', 'Auchan', 'MasterCard Cr Per - Refund')</v>
      </c>
      <c r="O179" t="str">
        <f t="shared" si="5"/>
        <v>INSERT INTO [dbo].[Contracts] ([Id], [M1ChargeCodes], [M1PPI], [M1PPC], [M1MerchanID]) VALUES (476, 'ARFMCC9', '1.5', '0.01567', 'MERCH00002')</v>
      </c>
    </row>
    <row r="180" spans="1:15" hidden="1" x14ac:dyDescent="0.3">
      <c r="A180" s="38" t="s">
        <v>194</v>
      </c>
      <c r="B180" s="38">
        <v>1.5</v>
      </c>
      <c r="C180" s="41">
        <v>1.567E-2</v>
      </c>
      <c r="D180" s="38" t="s">
        <v>765</v>
      </c>
      <c r="E180" s="37"/>
      <c r="F180" s="38" t="s">
        <v>194</v>
      </c>
      <c r="G180" s="38">
        <v>1.5</v>
      </c>
      <c r="H180" s="41">
        <v>1.567E-2</v>
      </c>
      <c r="I180" t="s">
        <v>762</v>
      </c>
      <c r="J180" s="38" t="s">
        <v>1043</v>
      </c>
      <c r="K180" t="str">
        <f>INDEX(psegm!B:B,MATCH(RIGHT(contract!A180,4),psegm!A:A,0))&amp;" - "&amp;IF(MID(A180,2,2)="CA","Cash Advance",IF(MID(A180,2,2)="OC","OCT",IF(MID(A180,2,2)="PC","PWCB",IF(MID(A180,2,2)="RF","Refund",IF(MID(A180,2,2)="PU","Purchase")))))</f>
        <v>MasterCardDr Com Int - Refund</v>
      </c>
      <c r="L180">
        <v>907</v>
      </c>
      <c r="M180">
        <v>477</v>
      </c>
      <c r="N180" t="str">
        <f t="shared" si="4"/>
        <v>INSERT INTO [dbo].[Contracts] ([Id], [ChargeCodes], [PPI], [PPC], [MerchanID], [Descriptions]) VALUES (907, 'ARFMCD1', '1.5', '0.01567', 'Auchan', 'MasterCardDr Com Int - Refund')</v>
      </c>
      <c r="O180" t="str">
        <f t="shared" si="5"/>
        <v>INSERT INTO [dbo].[Contracts] ([Id], [M1ChargeCodes], [M1PPI], [M1PPC], [M1MerchanID]) VALUES (477, 'ARFMCD1', '1.5', '0.01567', 'MERCH00002')</v>
      </c>
    </row>
    <row r="181" spans="1:15" hidden="1" x14ac:dyDescent="0.3">
      <c r="A181" s="38" t="s">
        <v>195</v>
      </c>
      <c r="B181" s="38">
        <v>1.5</v>
      </c>
      <c r="C181" s="41">
        <v>1.567E-2</v>
      </c>
      <c r="D181" s="38" t="s">
        <v>765</v>
      </c>
      <c r="E181" s="37"/>
      <c r="F181" s="38" t="s">
        <v>195</v>
      </c>
      <c r="G181" s="38">
        <v>1.5</v>
      </c>
      <c r="H181" s="41">
        <v>1.567E-2</v>
      </c>
      <c r="I181" t="s">
        <v>762</v>
      </c>
      <c r="J181" s="38" t="s">
        <v>1044</v>
      </c>
      <c r="K181" t="str">
        <f>INDEX(psegm!B:B,MATCH(RIGHT(contract!A181,4),psegm!A:A,0))&amp;" - "&amp;IF(MID(A181,2,2)="CA","Cash Advance",IF(MID(A181,2,2)="OC","OCT",IF(MID(A181,2,2)="PC","PWCB",IF(MID(A181,2,2)="RF","Refund",IF(MID(A181,2,2)="PU","Purchase")))))</f>
        <v>MasterCardDr Per Int - Refund</v>
      </c>
      <c r="L181">
        <v>908</v>
      </c>
      <c r="M181">
        <v>478</v>
      </c>
      <c r="N181" t="str">
        <f t="shared" si="4"/>
        <v>INSERT INTO [dbo].[Contracts] ([Id], [ChargeCodes], [PPI], [PPC], [MerchanID], [Descriptions]) VALUES (908, 'ARFMCD2', '1.5', '0.01567', 'Auchan', 'MasterCardDr Per Int - Refund')</v>
      </c>
      <c r="O181" t="str">
        <f t="shared" si="5"/>
        <v>INSERT INTO [dbo].[Contracts] ([Id], [M1ChargeCodes], [M1PPI], [M1PPC], [M1MerchanID]) VALUES (478, 'ARFMCD2', '1.5', '0.01567', 'MERCH00002')</v>
      </c>
    </row>
    <row r="182" spans="1:15" hidden="1" x14ac:dyDescent="0.3">
      <c r="A182" s="38" t="s">
        <v>196</v>
      </c>
      <c r="B182" s="38">
        <v>1.5</v>
      </c>
      <c r="C182" s="41">
        <v>1.567E-2</v>
      </c>
      <c r="D182" s="38" t="s">
        <v>765</v>
      </c>
      <c r="E182" s="37"/>
      <c r="F182" s="38" t="s">
        <v>196</v>
      </c>
      <c r="G182" s="38">
        <v>1.5</v>
      </c>
      <c r="H182" s="41">
        <v>1.567E-2</v>
      </c>
      <c r="I182" t="s">
        <v>762</v>
      </c>
      <c r="J182" s="38" t="s">
        <v>1045</v>
      </c>
      <c r="K182" t="str">
        <f>INDEX(psegm!B:B,MATCH(RIGHT(contract!A182,4),psegm!A:A,0))&amp;" - "&amp;IF(MID(A182,2,2)="CA","Cash Advance",IF(MID(A182,2,2)="OC","OCT",IF(MID(A182,2,2)="PC","PWCB",IF(MID(A182,2,2)="RF","Refund",IF(MID(A182,2,2)="PU","Purchase")))))</f>
        <v>Dr MasterCard EEA - Refund</v>
      </c>
      <c r="L182">
        <v>909</v>
      </c>
      <c r="M182">
        <v>479</v>
      </c>
      <c r="N182" t="str">
        <f t="shared" si="4"/>
        <v>INSERT INTO [dbo].[Contracts] ([Id], [ChargeCodes], [PPI], [PPC], [MerchanID], [Descriptions]) VALUES (909, 'ARFMCD3', '1.5', '0.01567', 'Auchan', 'Dr MasterCard EEA - Refund')</v>
      </c>
      <c r="O182" t="str">
        <f t="shared" si="5"/>
        <v>INSERT INTO [dbo].[Contracts] ([Id], [M1ChargeCodes], [M1PPI], [M1PPC], [M1MerchanID]) VALUES (479, 'ARFMCD3', '1.5', '0.01567', 'MERCH00002')</v>
      </c>
    </row>
    <row r="183" spans="1:15" hidden="1" x14ac:dyDescent="0.3">
      <c r="A183" s="38" t="s">
        <v>197</v>
      </c>
      <c r="B183" s="38">
        <v>1.5</v>
      </c>
      <c r="C183" s="41">
        <v>1.567E-2</v>
      </c>
      <c r="D183" s="38" t="s">
        <v>765</v>
      </c>
      <c r="E183" s="37"/>
      <c r="F183" s="38" t="s">
        <v>197</v>
      </c>
      <c r="G183" s="38">
        <v>1.5</v>
      </c>
      <c r="H183" s="41">
        <v>1.567E-2</v>
      </c>
      <c r="I183" t="s">
        <v>762</v>
      </c>
      <c r="J183" s="38" t="s">
        <v>1046</v>
      </c>
      <c r="K183" t="str">
        <f>INDEX(psegm!B:B,MATCH(RIGHT(contract!A183,4),psegm!A:A,0))&amp;" - "&amp;IF(MID(A183,2,2)="CA","Cash Advance",IF(MID(A183,2,2)="OC","OCT",IF(MID(A183,2,2)="PC","PWCB",IF(MID(A183,2,2)="RF","Refund",IF(MID(A183,2,2)="PU","Purchase")))))</f>
        <v>Debit MasterCard Per Int - Refund</v>
      </c>
      <c r="L183">
        <v>910</v>
      </c>
      <c r="M183">
        <v>480</v>
      </c>
      <c r="N183" t="str">
        <f t="shared" si="4"/>
        <v>INSERT INTO [dbo].[Contracts] ([Id], [ChargeCodes], [PPI], [PPC], [MerchanID], [Descriptions]) VALUES (910, 'ARFMCD4', '1.5', '0.01567', 'Auchan', 'Debit MasterCard Per Int - Refund')</v>
      </c>
      <c r="O183" t="str">
        <f t="shared" si="5"/>
        <v>INSERT INTO [dbo].[Contracts] ([Id], [M1ChargeCodes], [M1PPI], [M1PPC], [M1MerchanID]) VALUES (480, 'ARFMCD4', '1.5', '0.01567', 'MERCH00002')</v>
      </c>
    </row>
    <row r="184" spans="1:15" hidden="1" x14ac:dyDescent="0.3">
      <c r="A184" s="38" t="s">
        <v>198</v>
      </c>
      <c r="B184" s="38">
        <v>1.5</v>
      </c>
      <c r="C184" s="41">
        <v>1.567E-2</v>
      </c>
      <c r="D184" s="38" t="s">
        <v>765</v>
      </c>
      <c r="E184" s="37"/>
      <c r="F184" s="38" t="s">
        <v>198</v>
      </c>
      <c r="G184" s="38">
        <v>1.5</v>
      </c>
      <c r="H184" s="41">
        <v>1.567E-2</v>
      </c>
      <c r="I184" t="s">
        <v>762</v>
      </c>
      <c r="J184" s="38" t="s">
        <v>1047</v>
      </c>
      <c r="K184" t="str">
        <f>INDEX(psegm!B:B,MATCH(RIGHT(contract!A184,4),psegm!A:A,0))&amp;" - "&amp;IF(MID(A184,2,2)="CA","Cash Advance",IF(MID(A184,2,2)="OC","OCT",IF(MID(A184,2,2)="PC","PWCB",IF(MID(A184,2,2)="RF","Refund",IF(MID(A184,2,2)="PU","Purchase")))))</f>
        <v>Debit MasterCard Com Int - Refund</v>
      </c>
      <c r="L184">
        <v>911</v>
      </c>
      <c r="M184">
        <v>481</v>
      </c>
      <c r="N184" t="str">
        <f t="shared" si="4"/>
        <v>INSERT INTO [dbo].[Contracts] ([Id], [ChargeCodes], [PPI], [PPC], [MerchanID], [Descriptions]) VALUES (911, 'ARFMCD5', '1.5', '0.01567', 'Auchan', 'Debit MasterCard Com Int - Refund')</v>
      </c>
      <c r="O184" t="str">
        <f t="shared" si="5"/>
        <v>INSERT INTO [dbo].[Contracts] ([Id], [M1ChargeCodes], [M1PPI], [M1PPC], [M1MerchanID]) VALUES (481, 'ARFMCD5', '1.5', '0.01567', 'MERCH00002')</v>
      </c>
    </row>
    <row r="185" spans="1:15" hidden="1" x14ac:dyDescent="0.3">
      <c r="A185" s="38" t="s">
        <v>199</v>
      </c>
      <c r="B185" s="38">
        <v>1.5</v>
      </c>
      <c r="C185" s="41">
        <v>1.567E-2</v>
      </c>
      <c r="D185" s="38" t="s">
        <v>765</v>
      </c>
      <c r="E185" s="37"/>
      <c r="F185" s="38" t="s">
        <v>199</v>
      </c>
      <c r="G185" s="38">
        <v>1.5</v>
      </c>
      <c r="H185" s="41">
        <v>1.567E-2</v>
      </c>
      <c r="I185" t="s">
        <v>762</v>
      </c>
      <c r="J185" s="38" t="s">
        <v>1048</v>
      </c>
      <c r="K185" t="str">
        <f>INDEX(psegm!B:B,MATCH(RIGHT(contract!A185,4),psegm!A:A,0))&amp;" - "&amp;IF(MID(A185,2,2)="CA","Cash Advance",IF(MID(A185,2,2)="OC","OCT",IF(MID(A185,2,2)="PC","PWCB",IF(MID(A185,2,2)="RF","Refund",IF(MID(A185,2,2)="PU","Purchase")))))</f>
        <v>Maestro UK (DOM) Com - Refund</v>
      </c>
      <c r="L185">
        <v>912</v>
      </c>
      <c r="M185">
        <v>482</v>
      </c>
      <c r="N185" t="str">
        <f t="shared" si="4"/>
        <v>INSERT INTO [dbo].[Contracts] ([Id], [ChargeCodes], [PPI], [PPC], [MerchanID], [Descriptions]) VALUES (912, 'ARFMCD6', '1.5', '0.01567', 'Auchan', 'Maestro UK (DOM) Com - Refund')</v>
      </c>
      <c r="O185" t="str">
        <f t="shared" si="5"/>
        <v>INSERT INTO [dbo].[Contracts] ([Id], [M1ChargeCodes], [M1PPI], [M1PPC], [M1MerchanID]) VALUES (482, 'ARFMCD6', '1.5', '0.01567', 'MERCH00002')</v>
      </c>
    </row>
    <row r="186" spans="1:15" hidden="1" x14ac:dyDescent="0.3">
      <c r="A186" s="38" t="s">
        <v>200</v>
      </c>
      <c r="B186" s="38">
        <v>1.5</v>
      </c>
      <c r="C186" s="41">
        <v>1.567E-2</v>
      </c>
      <c r="D186" s="38" t="s">
        <v>765</v>
      </c>
      <c r="E186" s="37"/>
      <c r="F186" s="38" t="s">
        <v>200</v>
      </c>
      <c r="G186" s="38">
        <v>1.5</v>
      </c>
      <c r="H186" s="41">
        <v>1.567E-2</v>
      </c>
      <c r="I186" t="s">
        <v>762</v>
      </c>
      <c r="J186" s="38" t="s">
        <v>1049</v>
      </c>
      <c r="K186" t="str">
        <f>INDEX(psegm!B:B,MATCH(RIGHT(contract!A186,4),psegm!A:A,0))&amp;" - "&amp;IF(MID(A186,2,2)="CA","Cash Advance",IF(MID(A186,2,2)="OC","OCT",IF(MID(A186,2,2)="PC","PWCB",IF(MID(A186,2,2)="RF","Refund",IF(MID(A186,2,2)="PU","Purchase")))))</f>
        <v>Maestro Intl Com - Refund</v>
      </c>
      <c r="L186">
        <v>913</v>
      </c>
      <c r="M186">
        <v>483</v>
      </c>
      <c r="N186" t="str">
        <f t="shared" si="4"/>
        <v>INSERT INTO [dbo].[Contracts] ([Id], [ChargeCodes], [PPI], [PPC], [MerchanID], [Descriptions]) VALUES (913, 'ARFMCD7', '1.5', '0.01567', 'Auchan', 'Maestro Intl Com - Refund')</v>
      </c>
      <c r="O186" t="str">
        <f t="shared" si="5"/>
        <v>INSERT INTO [dbo].[Contracts] ([Id], [M1ChargeCodes], [M1PPI], [M1PPC], [M1MerchanID]) VALUES (483, 'ARFMCD7', '1.5', '0.01567', 'MERCH00002')</v>
      </c>
    </row>
    <row r="187" spans="1:15" hidden="1" x14ac:dyDescent="0.3">
      <c r="A187" s="38" t="s">
        <v>201</v>
      </c>
      <c r="B187" s="38">
        <v>1.5</v>
      </c>
      <c r="C187" s="41">
        <v>1.567E-2</v>
      </c>
      <c r="D187" s="38" t="s">
        <v>765</v>
      </c>
      <c r="E187" s="37"/>
      <c r="F187" s="38" t="s">
        <v>201</v>
      </c>
      <c r="G187" s="38">
        <v>1.5</v>
      </c>
      <c r="H187" s="41">
        <v>1.567E-2</v>
      </c>
      <c r="I187" t="s">
        <v>762</v>
      </c>
      <c r="J187" s="38" t="s">
        <v>1050</v>
      </c>
      <c r="K187" t="str">
        <f>INDEX(psegm!B:B,MATCH(RIGHT(contract!A187,4),psegm!A:A,0))&amp;" - "&amp;IF(MID(A187,2,2)="CA","Cash Advance",IF(MID(A187,2,2)="OC","OCT",IF(MID(A187,2,2)="PC","PWCB",IF(MID(A187,2,2)="RF","Refund",IF(MID(A187,2,2)="PU","Purchase")))))</f>
        <v>Maestro UK (DOM) Per - Refund</v>
      </c>
      <c r="L187">
        <v>914</v>
      </c>
      <c r="M187">
        <v>484</v>
      </c>
      <c r="N187" t="str">
        <f t="shared" si="4"/>
        <v>INSERT INTO [dbo].[Contracts] ([Id], [ChargeCodes], [PPI], [PPC], [MerchanID], [Descriptions]) VALUES (914, 'ARFMCD8', '1.5', '0.01567', 'Auchan', 'Maestro UK (DOM) Per - Refund')</v>
      </c>
      <c r="O187" t="str">
        <f t="shared" si="5"/>
        <v>INSERT INTO [dbo].[Contracts] ([Id], [M1ChargeCodes], [M1PPI], [M1PPC], [M1MerchanID]) VALUES (484, 'ARFMCD8', '1.5', '0.01567', 'MERCH00002')</v>
      </c>
    </row>
    <row r="188" spans="1:15" hidden="1" x14ac:dyDescent="0.3">
      <c r="A188" s="38" t="s">
        <v>202</v>
      </c>
      <c r="B188" s="38">
        <v>1.5</v>
      </c>
      <c r="C188" s="41">
        <v>1.567E-2</v>
      </c>
      <c r="D188" s="38" t="s">
        <v>765</v>
      </c>
      <c r="E188" s="37"/>
      <c r="F188" s="38" t="s">
        <v>202</v>
      </c>
      <c r="G188" s="38">
        <v>1.5</v>
      </c>
      <c r="H188" s="41">
        <v>1.567E-2</v>
      </c>
      <c r="I188" t="s">
        <v>762</v>
      </c>
      <c r="J188" s="38" t="s">
        <v>1051</v>
      </c>
      <c r="K188" t="str">
        <f>INDEX(psegm!B:B,MATCH(RIGHT(contract!A188,4),psegm!A:A,0))&amp;" - "&amp;IF(MID(A188,2,2)="CA","Cash Advance",IF(MID(A188,2,2)="OC","OCT",IF(MID(A188,2,2)="PC","PWCB",IF(MID(A188,2,2)="RF","Refund",IF(MID(A188,2,2)="PU","Purchase")))))</f>
        <v>Maestro Intl Per - Refund</v>
      </c>
      <c r="L188">
        <v>915</v>
      </c>
      <c r="M188">
        <v>485</v>
      </c>
      <c r="N188" t="str">
        <f t="shared" si="4"/>
        <v>INSERT INTO [dbo].[Contracts] ([Id], [ChargeCodes], [PPI], [PPC], [MerchanID], [Descriptions]) VALUES (915, 'ARFMCD9', '1.5', '0.01567', 'Auchan', 'Maestro Intl Per - Refund')</v>
      </c>
      <c r="O188" t="str">
        <f t="shared" si="5"/>
        <v>INSERT INTO [dbo].[Contracts] ([Id], [M1ChargeCodes], [M1PPI], [M1PPC], [M1MerchanID]) VALUES (485, 'ARFMCD9', '1.5', '0.01567', 'MERCH00002')</v>
      </c>
    </row>
    <row r="189" spans="1:15" hidden="1" x14ac:dyDescent="0.3">
      <c r="A189" s="38" t="s">
        <v>203</v>
      </c>
      <c r="B189" s="38">
        <v>1.5</v>
      </c>
      <c r="C189" s="41">
        <v>1.567E-2</v>
      </c>
      <c r="D189" s="38" t="s">
        <v>765</v>
      </c>
      <c r="E189" s="37"/>
      <c r="F189" s="38" t="s">
        <v>203</v>
      </c>
      <c r="G189" s="38">
        <v>1.5</v>
      </c>
      <c r="H189" s="41">
        <v>1.567E-2</v>
      </c>
      <c r="I189" t="s">
        <v>762</v>
      </c>
      <c r="J189" s="38" t="s">
        <v>1047</v>
      </c>
      <c r="K189" t="str">
        <f>INDEX(psegm!B:B,MATCH(RIGHT(contract!A189,5),psegm!A:A,0))&amp;" - "&amp;IF(MID(A189,2,2)="CA","Cash Advance",IF(MID(A189,2,2)="OC","OCT",IF(MID(A189,2,2)="PC","PWCB",IF(MID(A189,2,2)="RF","Refund",IF(MID(A189,2,2)="PU","Purchase")))))</f>
        <v>Debit MasterCard Com Int - Refund</v>
      </c>
      <c r="L189">
        <v>916</v>
      </c>
      <c r="M189">
        <v>486</v>
      </c>
      <c r="N189" t="str">
        <f t="shared" si="4"/>
        <v>INSERT INTO [dbo].[Contracts] ([Id], [ChargeCodes], [PPI], [PPC], [MerchanID], [Descriptions]) VALUES (916, 'ARFMCD10', '1.5', '0.01567', 'Auchan', 'Debit MasterCard Com Int - Refund')</v>
      </c>
      <c r="O189" t="str">
        <f t="shared" si="5"/>
        <v>INSERT INTO [dbo].[Contracts] ([Id], [M1ChargeCodes], [M1PPI], [M1PPC], [M1MerchanID]) VALUES (486, 'ARFMCD10', '1.5', '0.01567', 'MERCH00002')</v>
      </c>
    </row>
    <row r="190" spans="1:15" hidden="1" x14ac:dyDescent="0.3">
      <c r="A190" s="38" t="s">
        <v>204</v>
      </c>
      <c r="B190" s="38">
        <v>1.5</v>
      </c>
      <c r="C190" s="41">
        <v>1.567E-2</v>
      </c>
      <c r="D190" s="38" t="s">
        <v>765</v>
      </c>
      <c r="E190" s="37"/>
      <c r="F190" s="38" t="s">
        <v>204</v>
      </c>
      <c r="G190" s="38">
        <v>1.5</v>
      </c>
      <c r="H190" s="41">
        <v>1.567E-2</v>
      </c>
      <c r="I190" t="s">
        <v>762</v>
      </c>
      <c r="J190" s="38" t="s">
        <v>1052</v>
      </c>
      <c r="K190" t="str">
        <f>INDEX(psegm!B:B,MATCH(RIGHT(contract!A190,4),psegm!A:A,0))&amp;" - "&amp;IF(MID(A190,2,2)="CA","Cash Advance",IF(MID(A190,2,2)="OC","OCT",IF(MID(A190,2,2)="PC","PWCB",IF(MID(A190,2,2)="RF","Refund",IF(MID(A190,2,2)="PU","Purchase")))))</f>
        <v>Visa Elec Credit Personal - Refund</v>
      </c>
      <c r="L190">
        <v>917</v>
      </c>
      <c r="M190">
        <v>487</v>
      </c>
      <c r="N190" t="str">
        <f t="shared" si="4"/>
        <v>INSERT INTO [dbo].[Contracts] ([Id], [ChargeCodes], [PPI], [PPC], [MerchanID], [Descriptions]) VALUES (917, 'ARFVIC1', '1.5', '0.01567', 'Auchan', 'Visa Elec Credit Personal - Refund')</v>
      </c>
      <c r="O190" t="str">
        <f t="shared" si="5"/>
        <v>INSERT INTO [dbo].[Contracts] ([Id], [M1ChargeCodes], [M1PPI], [M1PPC], [M1MerchanID]) VALUES (487, 'ARFVIC1', '1.5', '0.01567', 'MERCH00002')</v>
      </c>
    </row>
    <row r="191" spans="1:15" hidden="1" x14ac:dyDescent="0.3">
      <c r="A191" s="38" t="s">
        <v>205</v>
      </c>
      <c r="B191" s="38">
        <v>1.5</v>
      </c>
      <c r="C191" s="41">
        <v>1.567E-2</v>
      </c>
      <c r="D191" s="38" t="s">
        <v>765</v>
      </c>
      <c r="E191" s="37"/>
      <c r="F191" s="38" t="s">
        <v>205</v>
      </c>
      <c r="G191" s="38">
        <v>1.5</v>
      </c>
      <c r="H191" s="41">
        <v>1.567E-2</v>
      </c>
      <c r="I191" t="s">
        <v>762</v>
      </c>
      <c r="J191" s="38" t="s">
        <v>1053</v>
      </c>
      <c r="K191" t="str">
        <f>INDEX(psegm!B:B,MATCH(RIGHT(contract!A191,4),psegm!A:A,0))&amp;" - "&amp;IF(MID(A191,2,2)="CA","Cash Advance",IF(MID(A191,2,2)="OC","OCT",IF(MID(A191,2,2)="PC","PWCB",IF(MID(A191,2,2)="RF","Refund",IF(MID(A191,2,2)="PU","Purchase")))))</f>
        <v>Visa Credit Personal - Refund</v>
      </c>
      <c r="L191">
        <v>918</v>
      </c>
      <c r="M191">
        <v>488</v>
      </c>
      <c r="N191" t="str">
        <f t="shared" si="4"/>
        <v>INSERT INTO [dbo].[Contracts] ([Id], [ChargeCodes], [PPI], [PPC], [MerchanID], [Descriptions]) VALUES (918, 'ARFVIC2', '1.5', '0.01567', 'Auchan', 'Visa Credit Personal - Refund')</v>
      </c>
      <c r="O191" t="str">
        <f t="shared" si="5"/>
        <v>INSERT INTO [dbo].[Contracts] ([Id], [M1ChargeCodes], [M1PPI], [M1PPC], [M1MerchanID]) VALUES (488, 'ARFVIC2', '1.5', '0.01567', 'MERCH00002')</v>
      </c>
    </row>
    <row r="192" spans="1:15" x14ac:dyDescent="0.3">
      <c r="A192" s="38" t="s">
        <v>206</v>
      </c>
      <c r="B192" s="38">
        <v>1.5</v>
      </c>
      <c r="C192" s="41">
        <v>1.567E-2</v>
      </c>
      <c r="D192" s="38" t="s">
        <v>765</v>
      </c>
      <c r="E192" s="37"/>
      <c r="F192" s="38" t="s">
        <v>206</v>
      </c>
      <c r="G192" s="38">
        <v>1.5</v>
      </c>
      <c r="H192" s="41">
        <v>1.567E-2</v>
      </c>
      <c r="I192" t="s">
        <v>762</v>
      </c>
      <c r="J192" s="38" t="s">
        <v>1054</v>
      </c>
      <c r="K192" t="str">
        <f>INDEX(psegm!B:B,MATCH(RIGHT(contract!A192,4),psegm!A:A,0))&amp;" - "&amp;IF(MID(A192,2,2)="CA","Cash Advance",IF(MID(A192,2,2)="OC","OCT",IF(MID(A192,2,2)="PC","PWCB",IF(MID(A192,2,2)="RF","Refund",IF(MID(A192,2,2)="PU","Purchase")))))</f>
        <v>Visa Business - Refund</v>
      </c>
      <c r="L192">
        <v>919</v>
      </c>
      <c r="M192">
        <v>489</v>
      </c>
      <c r="N192" t="str">
        <f t="shared" si="4"/>
        <v>INSERT INTO [dbo].[Contracts] ([Id], [ChargeCodes], [PPI], [PPC], [MerchanID], [Descriptions]) VALUES (919, 'ARFVIC3', '1.5', '0.01567', 'Auchan', 'Visa Business - Refund')</v>
      </c>
      <c r="O192" t="str">
        <f t="shared" si="5"/>
        <v>INSERT INTO [dbo].[Contracts] ([Id], [M1ChargeCodes], [M1PPI], [M1PPC], [M1MerchanID]) VALUES (489, 'ARFVIC3', '1.5', '0.01567', 'MERCH00002')</v>
      </c>
    </row>
    <row r="193" spans="1:15" hidden="1" x14ac:dyDescent="0.3">
      <c r="A193" s="38" t="s">
        <v>207</v>
      </c>
      <c r="B193" s="38">
        <v>1.5</v>
      </c>
      <c r="C193" s="41">
        <v>1.567E-2</v>
      </c>
      <c r="D193" s="38" t="s">
        <v>765</v>
      </c>
      <c r="E193" s="37"/>
      <c r="F193" s="38" t="s">
        <v>207</v>
      </c>
      <c r="G193" s="38">
        <v>1.5</v>
      </c>
      <c r="H193" s="41">
        <v>1.567E-2</v>
      </c>
      <c r="I193" t="s">
        <v>762</v>
      </c>
      <c r="J193" s="38" t="s">
        <v>1055</v>
      </c>
      <c r="K193" t="str">
        <f>INDEX(psegm!B:B,MATCH(RIGHT(contract!A193,4),psegm!A:A,0))&amp;" - "&amp;IF(MID(A193,2,2)="CA","Cash Advance",IF(MID(A193,2,2)="OC","OCT",IF(MID(A193,2,2)="PC","PWCB",IF(MID(A193,2,2)="RF","Refund",IF(MID(A193,2,2)="PU","Purchase")))))</f>
        <v>Visa Commerce - Refund</v>
      </c>
      <c r="L193">
        <v>920</v>
      </c>
      <c r="M193">
        <v>490</v>
      </c>
      <c r="N193" t="str">
        <f t="shared" si="4"/>
        <v>INSERT INTO [dbo].[Contracts] ([Id], [ChargeCodes], [PPI], [PPC], [MerchanID], [Descriptions]) VALUES (920, 'ARFVIC4', '1.5', '0.01567', 'Auchan', 'Visa Commerce - Refund')</v>
      </c>
      <c r="O193" t="str">
        <f t="shared" si="5"/>
        <v>INSERT INTO [dbo].[Contracts] ([Id], [M1ChargeCodes], [M1PPI], [M1PPC], [M1MerchanID]) VALUES (490, 'ARFVIC4', '1.5', '0.01567', 'MERCH00002')</v>
      </c>
    </row>
    <row r="194" spans="1:15" hidden="1" x14ac:dyDescent="0.3">
      <c r="A194" s="38" t="s">
        <v>208</v>
      </c>
      <c r="B194" s="38">
        <v>1.5</v>
      </c>
      <c r="C194" s="41">
        <v>1.567E-2</v>
      </c>
      <c r="D194" s="38" t="s">
        <v>765</v>
      </c>
      <c r="E194" s="37"/>
      <c r="F194" s="38" t="s">
        <v>208</v>
      </c>
      <c r="G194" s="38">
        <v>1.5</v>
      </c>
      <c r="H194" s="41">
        <v>1.567E-2</v>
      </c>
      <c r="I194" t="s">
        <v>762</v>
      </c>
      <c r="J194" s="38" t="s">
        <v>1056</v>
      </c>
      <c r="K194" t="str">
        <f>INDEX(psegm!B:B,MATCH(RIGHT(contract!A194,4),psegm!A:A,0))&amp;" - "&amp;IF(MID(A194,2,2)="CA","Cash Advance",IF(MID(A194,2,2)="OC","OCT",IF(MID(A194,2,2)="PC","PWCB",IF(MID(A194,2,2)="RF","Refund",IF(MID(A194,2,2)="PU","Purchase")))))</f>
        <v>Visa Corporate - Refund</v>
      </c>
      <c r="L194">
        <v>921</v>
      </c>
      <c r="M194">
        <v>491</v>
      </c>
      <c r="N194" t="str">
        <f t="shared" si="4"/>
        <v>INSERT INTO [dbo].[Contracts] ([Id], [ChargeCodes], [PPI], [PPC], [MerchanID], [Descriptions]) VALUES (921, 'ARFVIC5', '1.5', '0.01567', 'Auchan', 'Visa Corporate - Refund')</v>
      </c>
      <c r="O194" t="str">
        <f t="shared" si="5"/>
        <v>INSERT INTO [dbo].[Contracts] ([Id], [M1ChargeCodes], [M1PPI], [M1PPC], [M1MerchanID]) VALUES (491, 'ARFVIC5', '1.5', '0.01567', 'MERCH00002')</v>
      </c>
    </row>
    <row r="195" spans="1:15" hidden="1" x14ac:dyDescent="0.3">
      <c r="A195" s="38" t="s">
        <v>209</v>
      </c>
      <c r="B195" s="38">
        <v>1.5</v>
      </c>
      <c r="C195" s="41">
        <v>1.567E-2</v>
      </c>
      <c r="D195" s="38" t="s">
        <v>765</v>
      </c>
      <c r="E195" s="37"/>
      <c r="F195" s="38" t="s">
        <v>209</v>
      </c>
      <c r="G195" s="38">
        <v>1.5</v>
      </c>
      <c r="H195" s="41">
        <v>1.567E-2</v>
      </c>
      <c r="I195" t="s">
        <v>762</v>
      </c>
      <c r="J195" s="38" t="s">
        <v>1057</v>
      </c>
      <c r="K195" t="str">
        <f>INDEX(psegm!B:B,MATCH(RIGHT(contract!A195,4),psegm!A:A,0))&amp;" - "&amp;IF(MID(A195,2,2)="CA","Cash Advance",IF(MID(A195,2,2)="OC","OCT",IF(MID(A195,2,2)="PC","PWCB",IF(MID(A195,2,2)="RF","Refund",IF(MID(A195,2,2)="PU","Purchase")))))</f>
        <v>Visa Purchasing - Refund</v>
      </c>
      <c r="L195">
        <v>922</v>
      </c>
      <c r="M195">
        <v>492</v>
      </c>
      <c r="N195" t="str">
        <f t="shared" si="4"/>
        <v>INSERT INTO [dbo].[Contracts] ([Id], [ChargeCodes], [PPI], [PPC], [MerchanID], [Descriptions]) VALUES (922, 'ARFVIC6', '1.5', '0.01567', 'Auchan', 'Visa Purchasing - Refund')</v>
      </c>
      <c r="O195" t="str">
        <f t="shared" si="5"/>
        <v>INSERT INTO [dbo].[Contracts] ([Id], [M1ChargeCodes], [M1PPI], [M1PPC], [M1MerchanID]) VALUES (492, 'ARFVIC6', '1.5', '0.01567', 'MERCH00002')</v>
      </c>
    </row>
    <row r="196" spans="1:15" hidden="1" x14ac:dyDescent="0.3">
      <c r="A196" s="38" t="s">
        <v>210</v>
      </c>
      <c r="B196" s="38">
        <v>1.5</v>
      </c>
      <c r="C196" s="41">
        <v>1.567E-2</v>
      </c>
      <c r="D196" s="38" t="s">
        <v>765</v>
      </c>
      <c r="E196" s="37"/>
      <c r="F196" s="38" t="s">
        <v>210</v>
      </c>
      <c r="G196" s="38">
        <v>1.5</v>
      </c>
      <c r="H196" s="41">
        <v>1.567E-2</v>
      </c>
      <c r="I196" t="s">
        <v>762</v>
      </c>
      <c r="J196" s="38" t="s">
        <v>1058</v>
      </c>
      <c r="K196" t="str">
        <f>INDEX(psegm!B:B,MATCH(RIGHT(contract!A196,4),psegm!A:A,0))&amp;" - "&amp;IF(MID(A196,2,2)="CA","Cash Advance",IF(MID(A196,2,2)="OC","OCT",IF(MID(A196,2,2)="PC","PWCB",IF(MID(A196,2,2)="RF","Refund",IF(MID(A196,2,2)="PU","Purchase")))))</f>
        <v>Visa Electron Credit - Refund</v>
      </c>
      <c r="L196">
        <v>923</v>
      </c>
      <c r="M196">
        <v>493</v>
      </c>
      <c r="N196" t="str">
        <f t="shared" ref="N196:N217" si="6">"INSERT INTO [dbo].[Contracts] ([Id], [ChargeCodes], [PPI], [PPC], [MerchanID], [Descriptions]) VALUES ("&amp;L196&amp;", '"&amp;A196&amp;"', '"&amp;B196&amp;"', '"&amp;C196&amp;"', '"&amp;D196&amp;"', '"&amp;K196&amp;"')"</f>
        <v>INSERT INTO [dbo].[Contracts] ([Id], [ChargeCodes], [PPI], [PPC], [MerchanID], [Descriptions]) VALUES (923, 'ARFVIC7', '1.5', '0.01567', 'Auchan', 'Visa Electron Credit - Refund')</v>
      </c>
      <c r="O196" t="str">
        <f t="shared" ref="O196:O217" si="7">"INSERT INTO [dbo].[Contracts] ([Id], [M1ChargeCodes], [M1PPI], [M1PPC], [M1MerchanID]) VALUES ("&amp;M196&amp;", '"&amp;F196&amp;"', '"&amp;G196&amp;"', '"&amp;H196&amp;"', '"&amp;I196&amp;"')"</f>
        <v>INSERT INTO [dbo].[Contracts] ([Id], [M1ChargeCodes], [M1PPI], [M1PPC], [M1MerchanID]) VALUES (493, 'ARFVIC7', '1.5', '0.01567', 'MERCH00002')</v>
      </c>
    </row>
    <row r="197" spans="1:15" hidden="1" x14ac:dyDescent="0.3">
      <c r="A197" s="38" t="s">
        <v>211</v>
      </c>
      <c r="B197" s="38">
        <v>1.5</v>
      </c>
      <c r="C197" s="41">
        <v>1.567E-2</v>
      </c>
      <c r="D197" s="38" t="s">
        <v>765</v>
      </c>
      <c r="E197" s="37"/>
      <c r="F197" s="38" t="s">
        <v>211</v>
      </c>
      <c r="G197" s="38">
        <v>1.5</v>
      </c>
      <c r="H197" s="41">
        <v>1.567E-2</v>
      </c>
      <c r="I197" t="s">
        <v>762</v>
      </c>
      <c r="J197" s="38" t="s">
        <v>1059</v>
      </c>
      <c r="K197" t="str">
        <f>INDEX(psegm!B:B,MATCH(RIGHT(contract!A197,4),psegm!A:A,0))&amp;" - "&amp;IF(MID(A197,2,2)="CA","Cash Advance",IF(MID(A197,2,2)="OC","OCT",IF(MID(A197,2,2)="PC","PWCB",IF(MID(A197,2,2)="RF","Refund",IF(MID(A197,2,2)="PU","Purchase")))))</f>
        <v>Visa Debit Per - Refund</v>
      </c>
      <c r="L197">
        <v>924</v>
      </c>
      <c r="M197">
        <v>494</v>
      </c>
      <c r="N197" t="str">
        <f t="shared" si="6"/>
        <v>INSERT INTO [dbo].[Contracts] ([Id], [ChargeCodes], [PPI], [PPC], [MerchanID], [Descriptions]) VALUES (924, 'ARFVID1', '1.5', '0.01567', 'Auchan', 'Visa Debit Per - Refund')</v>
      </c>
      <c r="O197" t="str">
        <f t="shared" si="7"/>
        <v>INSERT INTO [dbo].[Contracts] ([Id], [M1ChargeCodes], [M1PPI], [M1PPC], [M1MerchanID]) VALUES (494, 'ARFVID1', '1.5', '0.01567', 'MERCH00002')</v>
      </c>
    </row>
    <row r="198" spans="1:15" hidden="1" x14ac:dyDescent="0.3">
      <c r="A198" s="38" t="s">
        <v>212</v>
      </c>
      <c r="B198" s="38">
        <v>1.5</v>
      </c>
      <c r="C198" s="41">
        <v>1.567E-2</v>
      </c>
      <c r="D198" s="38" t="s">
        <v>765</v>
      </c>
      <c r="E198" s="37"/>
      <c r="F198" s="38" t="s">
        <v>212</v>
      </c>
      <c r="G198" s="38">
        <v>1.5</v>
      </c>
      <c r="H198" s="41">
        <v>1.567E-2</v>
      </c>
      <c r="I198" t="s">
        <v>762</v>
      </c>
      <c r="J198" s="38" t="s">
        <v>1060</v>
      </c>
      <c r="K198" t="str">
        <f>INDEX(psegm!B:B,MATCH(RIGHT(contract!A198,4),psegm!A:A,0))&amp;" - "&amp;IF(MID(A198,2,2)="CA","Cash Advance",IF(MID(A198,2,2)="OC","OCT",IF(MID(A198,2,2)="PC","PWCB",IF(MID(A198,2,2)="RF","Refund",IF(MID(A198,2,2)="PU","Purchase")))))</f>
        <v>Visa Dr Per Int - Refund</v>
      </c>
      <c r="L198">
        <v>925</v>
      </c>
      <c r="M198">
        <v>495</v>
      </c>
      <c r="N198" t="str">
        <f t="shared" si="6"/>
        <v>INSERT INTO [dbo].[Contracts] ([Id], [ChargeCodes], [PPI], [PPC], [MerchanID], [Descriptions]) VALUES (925, 'ARFVID2', '1.5', '0.01567', 'Auchan', 'Visa Dr Per Int - Refund')</v>
      </c>
      <c r="O198" t="str">
        <f t="shared" si="7"/>
        <v>INSERT INTO [dbo].[Contracts] ([Id], [M1ChargeCodes], [M1PPI], [M1PPC], [M1MerchanID]) VALUES (495, 'ARFVID2', '1.5', '0.01567', 'MERCH00002')</v>
      </c>
    </row>
    <row r="199" spans="1:15" hidden="1" x14ac:dyDescent="0.3">
      <c r="A199" s="38" t="s">
        <v>213</v>
      </c>
      <c r="B199" s="38">
        <v>1.5</v>
      </c>
      <c r="C199" s="41">
        <v>1.567E-2</v>
      </c>
      <c r="D199" s="38" t="s">
        <v>765</v>
      </c>
      <c r="E199" s="37"/>
      <c r="F199" s="38" t="s">
        <v>213</v>
      </c>
      <c r="G199" s="38">
        <v>1.5</v>
      </c>
      <c r="H199" s="41">
        <v>1.567E-2</v>
      </c>
      <c r="I199" t="s">
        <v>762</v>
      </c>
      <c r="J199" s="38" t="s">
        <v>1061</v>
      </c>
      <c r="K199" t="str">
        <f>INDEX(psegm!B:B,MATCH(RIGHT(contract!A199,4),psegm!A:A,0))&amp;" - "&amp;IF(MID(A199,2,2)="CA","Cash Advance",IF(MID(A199,2,2)="OC","OCT",IF(MID(A199,2,2)="PC","PWCB",IF(MID(A199,2,2)="RF","Refund",IF(MID(A199,2,2)="PU","Purchase")))))</f>
        <v>Visa Debit Com - Refund</v>
      </c>
      <c r="L199">
        <v>926</v>
      </c>
      <c r="M199">
        <v>496</v>
      </c>
      <c r="N199" t="str">
        <f t="shared" si="6"/>
        <v>INSERT INTO [dbo].[Contracts] ([Id], [ChargeCodes], [PPI], [PPC], [MerchanID], [Descriptions]) VALUES (926, 'ARFVID3', '1.5', '0.01567', 'Auchan', 'Visa Debit Com - Refund')</v>
      </c>
      <c r="O199" t="str">
        <f t="shared" si="7"/>
        <v>INSERT INTO [dbo].[Contracts] ([Id], [M1ChargeCodes], [M1PPI], [M1PPC], [M1MerchanID]) VALUES (496, 'ARFVID3', '1.5', '0.01567', 'MERCH00002')</v>
      </c>
    </row>
    <row r="200" spans="1:15" hidden="1" x14ac:dyDescent="0.3">
      <c r="A200" s="38" t="s">
        <v>214</v>
      </c>
      <c r="B200" s="38">
        <v>1.5</v>
      </c>
      <c r="C200" s="41">
        <v>1.567E-2</v>
      </c>
      <c r="D200" s="38" t="s">
        <v>765</v>
      </c>
      <c r="E200" s="37"/>
      <c r="F200" s="38" t="s">
        <v>214</v>
      </c>
      <c r="G200" s="38">
        <v>1.5</v>
      </c>
      <c r="H200" s="41">
        <v>1.567E-2</v>
      </c>
      <c r="I200" t="s">
        <v>762</v>
      </c>
      <c r="J200" s="38" t="s">
        <v>1062</v>
      </c>
      <c r="K200" t="str">
        <f>INDEX(psegm!B:B,MATCH(RIGHT(contract!A200,4),psegm!A:A,0))&amp;" - "&amp;IF(MID(A200,2,2)="CA","Cash Advance",IF(MID(A200,2,2)="OC","OCT",IF(MID(A200,2,2)="PC","PWCB",IF(MID(A200,2,2)="RF","Refund",IF(MID(A200,2,2)="PU","Purchase")))))</f>
        <v>Visa Dr Com Intl - Refund</v>
      </c>
      <c r="L200">
        <v>927</v>
      </c>
      <c r="M200">
        <v>497</v>
      </c>
      <c r="N200" t="str">
        <f t="shared" si="6"/>
        <v>INSERT INTO [dbo].[Contracts] ([Id], [ChargeCodes], [PPI], [PPC], [MerchanID], [Descriptions]) VALUES (927, 'ARFVID4', '1.5', '0.01567', 'Auchan', 'Visa Dr Com Intl - Refund')</v>
      </c>
      <c r="O200" t="str">
        <f t="shared" si="7"/>
        <v>INSERT INTO [dbo].[Contracts] ([Id], [M1ChargeCodes], [M1PPI], [M1PPC], [M1MerchanID]) VALUES (497, 'ARFVID4', '1.5', '0.01567', 'MERCH00002')</v>
      </c>
    </row>
    <row r="201" spans="1:15" hidden="1" x14ac:dyDescent="0.3">
      <c r="A201" s="38" t="s">
        <v>215</v>
      </c>
      <c r="B201" s="38">
        <v>1.5</v>
      </c>
      <c r="C201" s="41">
        <v>1.567E-2</v>
      </c>
      <c r="D201" s="38" t="s">
        <v>765</v>
      </c>
      <c r="E201" s="37"/>
      <c r="F201" s="38" t="s">
        <v>215</v>
      </c>
      <c r="G201" s="38">
        <v>1.5</v>
      </c>
      <c r="H201" s="41">
        <v>1.567E-2</v>
      </c>
      <c r="I201" t="s">
        <v>762</v>
      </c>
      <c r="J201" s="38" t="s">
        <v>1063</v>
      </c>
      <c r="K201" t="str">
        <f>INDEX(psegm!B:B,MATCH(RIGHT(contract!A201,4),psegm!A:A,0))&amp;" - "&amp;IF(MID(A201,2,2)="CA","Cash Advance",IF(MID(A201,2,2)="OC","OCT",IF(MID(A201,2,2)="PC","PWCB",IF(MID(A201,2,2)="RF","Refund",IF(MID(A201,2,2)="PU","Purchase")))))</f>
        <v>Visa Electron - Refund</v>
      </c>
      <c r="L201">
        <v>928</v>
      </c>
      <c r="M201">
        <v>498</v>
      </c>
      <c r="N201" t="str">
        <f t="shared" si="6"/>
        <v>INSERT INTO [dbo].[Contracts] ([Id], [ChargeCodes], [PPI], [PPC], [MerchanID], [Descriptions]) VALUES (928, 'ARFVID5', '1.5', '0.01567', 'Auchan', 'Visa Electron - Refund')</v>
      </c>
      <c r="O201" t="str">
        <f t="shared" si="7"/>
        <v>INSERT INTO [dbo].[Contracts] ([Id], [M1ChargeCodes], [M1PPI], [M1PPC], [M1MerchanID]) VALUES (498, 'ARFVID5', '1.5', '0.01567', 'MERCH00002')</v>
      </c>
    </row>
    <row r="202" spans="1:15" hidden="1" x14ac:dyDescent="0.3">
      <c r="A202" s="38" t="s">
        <v>216</v>
      </c>
      <c r="B202" s="38">
        <v>1.5</v>
      </c>
      <c r="C202" s="41">
        <v>1.567E-2</v>
      </c>
      <c r="D202" s="38" t="s">
        <v>765</v>
      </c>
      <c r="E202" s="37"/>
      <c r="F202" s="38" t="s">
        <v>216</v>
      </c>
      <c r="G202" s="38">
        <v>1.5</v>
      </c>
      <c r="H202" s="41">
        <v>1.567E-2</v>
      </c>
      <c r="I202" t="s">
        <v>762</v>
      </c>
      <c r="J202" s="38" t="s">
        <v>1064</v>
      </c>
      <c r="K202" t="str">
        <f>INDEX(psegm!B:B,MATCH(RIGHT(contract!A202,4),psegm!A:A,0))&amp;" - "&amp;IF(MID(A202,2,2)="CA","Cash Advance",IF(MID(A202,2,2)="OC","OCT",IF(MID(A202,2,2)="PC","PWCB",IF(MID(A202,2,2)="RF","Refund",IF(MID(A202,2,2)="PU","Purchase")))))</f>
        <v>Visa Elec Per Int - Refund</v>
      </c>
      <c r="L202">
        <v>929</v>
      </c>
      <c r="M202">
        <v>499</v>
      </c>
      <c r="N202" t="str">
        <f t="shared" si="6"/>
        <v>INSERT INTO [dbo].[Contracts] ([Id], [ChargeCodes], [PPI], [PPC], [MerchanID], [Descriptions]) VALUES (929, 'ARFVID6', '1.5', '0.01567', 'Auchan', 'Visa Elec Per Int - Refund')</v>
      </c>
      <c r="O202" t="str">
        <f t="shared" si="7"/>
        <v>INSERT INTO [dbo].[Contracts] ([Id], [M1ChargeCodes], [M1PPI], [M1PPC], [M1MerchanID]) VALUES (499, 'ARFVID6', '1.5', '0.01567', 'MERCH00002')</v>
      </c>
    </row>
    <row r="203" spans="1:15" hidden="1" x14ac:dyDescent="0.3">
      <c r="A203" s="38" t="s">
        <v>217</v>
      </c>
      <c r="B203" s="38">
        <v>1.5</v>
      </c>
      <c r="C203" s="41">
        <v>1.567E-2</v>
      </c>
      <c r="D203" s="38" t="s">
        <v>765</v>
      </c>
      <c r="E203" s="37"/>
      <c r="F203" s="38" t="s">
        <v>217</v>
      </c>
      <c r="G203" s="38">
        <v>1.5</v>
      </c>
      <c r="H203" s="41">
        <v>1.567E-2</v>
      </c>
      <c r="I203" t="s">
        <v>762</v>
      </c>
      <c r="J203" s="38" t="s">
        <v>1065</v>
      </c>
      <c r="K203" t="str">
        <f>INDEX(psegm!B:B,MATCH(RIGHT(contract!A203,4),psegm!A:A,0))&amp;" - "&amp;IF(MID(A203,2,2)="CA","Cash Advance",IF(MID(A203,2,2)="OC","OCT",IF(MID(A203,2,2)="PC","PWCB",IF(MID(A203,2,2)="RF","Refund",IF(MID(A203,2,2)="PU","Purchase")))))</f>
        <v>All Star - Refund</v>
      </c>
      <c r="L203">
        <v>930</v>
      </c>
      <c r="M203">
        <v>500</v>
      </c>
      <c r="N203" t="str">
        <f t="shared" si="6"/>
        <v>INSERT INTO [dbo].[Contracts] ([Id], [ChargeCodes], [PPI], [PPC], [MerchanID], [Descriptions]) VALUES (930, 'ARFALLS', '1.5', '0.01567', 'Auchan', 'All Star - Refund')</v>
      </c>
      <c r="O203" t="str">
        <f t="shared" si="7"/>
        <v>INSERT INTO [dbo].[Contracts] ([Id], [M1ChargeCodes], [M1PPI], [M1PPC], [M1MerchanID]) VALUES (500, 'ARFALLS', '1.5', '0.01567', 'MERCH00002')</v>
      </c>
    </row>
    <row r="204" spans="1:15" hidden="1" x14ac:dyDescent="0.3">
      <c r="A204" s="38" t="s">
        <v>218</v>
      </c>
      <c r="B204" s="38">
        <v>1.5</v>
      </c>
      <c r="C204" s="41">
        <v>1.567E-2</v>
      </c>
      <c r="D204" s="38" t="s">
        <v>765</v>
      </c>
      <c r="E204" s="37"/>
      <c r="F204" s="38" t="s">
        <v>218</v>
      </c>
      <c r="G204" s="38">
        <v>1.5</v>
      </c>
      <c r="H204" s="41">
        <v>1.567E-2</v>
      </c>
      <c r="I204" t="s">
        <v>762</v>
      </c>
      <c r="J204" s="38" t="s">
        <v>1066</v>
      </c>
      <c r="K204" t="str">
        <f>INDEX(psegm!B:B,MATCH(RIGHT(contract!A204,2),psegm!A:A,0))&amp;" - "&amp;IF(MID(A204,2,2)="CA","Cash Advance",IF(MID(A204,2,2)="OC","OCT",IF(MID(A204,2,2)="PC","PWCB",IF(MID(A204,2,2)="RF","Refund",IF(MID(A204,2,2)="PU","Purchase")))))</f>
        <v>Diners Discover - Refund</v>
      </c>
      <c r="L204">
        <v>931</v>
      </c>
      <c r="M204">
        <v>501</v>
      </c>
      <c r="N204" t="str">
        <f t="shared" si="6"/>
        <v>INSERT INTO [dbo].[Contracts] ([Id], [ChargeCodes], [PPI], [PPC], [MerchanID], [Descriptions]) VALUES (931, 'ARFDD', '1.5', '0.01567', 'Auchan', 'Diners Discover - Refund')</v>
      </c>
      <c r="O204" t="str">
        <f t="shared" si="7"/>
        <v>INSERT INTO [dbo].[Contracts] ([Id], [M1ChargeCodes], [M1PPI], [M1PPC], [M1MerchanID]) VALUES (501, 'ARFDD', '1.5', '0.01567', 'MERCH00002')</v>
      </c>
    </row>
    <row r="205" spans="1:15" hidden="1" x14ac:dyDescent="0.3">
      <c r="A205" s="38" t="s">
        <v>219</v>
      </c>
      <c r="B205" s="38">
        <v>1.5</v>
      </c>
      <c r="C205" s="41">
        <v>1.567E-2</v>
      </c>
      <c r="D205" s="38" t="s">
        <v>765</v>
      </c>
      <c r="E205" s="37"/>
      <c r="F205" s="38" t="s">
        <v>219</v>
      </c>
      <c r="G205" s="38">
        <v>1.5</v>
      </c>
      <c r="H205" s="41">
        <v>1.567E-2</v>
      </c>
      <c r="I205" t="s">
        <v>762</v>
      </c>
      <c r="J205" s="38" t="s">
        <v>1067</v>
      </c>
      <c r="K205" t="str">
        <f>INDEX(psegm!B:B,MATCH(RIGHT(contract!A205,2),psegm!A:A,0))&amp;" - "&amp;IF(MID(A205,2,2)="CA","Cash Advance",IF(MID(A205,2,2)="OC","OCT",IF(MID(A205,2,2)="PC","PWCB",IF(MID(A205,2,2)="RF","Refund",IF(MID(A205,2,2)="PU","Purchase")))))</f>
        <v>Diners International - Refund</v>
      </c>
      <c r="L205">
        <v>932</v>
      </c>
      <c r="M205">
        <v>502</v>
      </c>
      <c r="N205" t="str">
        <f t="shared" si="6"/>
        <v>INSERT INTO [dbo].[Contracts] ([Id], [ChargeCodes], [PPI], [PPC], [MerchanID], [Descriptions]) VALUES (932, 'ARFDI', '1.5', '0.01567', 'Auchan', 'Diners International - Refund')</v>
      </c>
      <c r="O205" t="str">
        <f t="shared" si="7"/>
        <v>INSERT INTO [dbo].[Contracts] ([Id], [M1ChargeCodes], [M1PPI], [M1PPC], [M1MerchanID]) VALUES (502, 'ARFDI', '1.5', '0.01567', 'MERCH00002')</v>
      </c>
    </row>
    <row r="206" spans="1:15" hidden="1" x14ac:dyDescent="0.3">
      <c r="A206" s="38" t="s">
        <v>220</v>
      </c>
      <c r="B206" s="38">
        <v>1.5</v>
      </c>
      <c r="C206" s="41">
        <v>1.567E-2</v>
      </c>
      <c r="D206" s="38" t="s">
        <v>765</v>
      </c>
      <c r="E206" s="37"/>
      <c r="F206" s="38" t="s">
        <v>220</v>
      </c>
      <c r="G206" s="38">
        <v>1.5</v>
      </c>
      <c r="H206" s="41">
        <v>1.567E-2</v>
      </c>
      <c r="I206" t="s">
        <v>762</v>
      </c>
      <c r="J206" s="38" t="s">
        <v>1068</v>
      </c>
      <c r="K206" t="str">
        <f>INDEX(psegm!B:B,MATCH(RIGHT(contract!A206,3),psegm!A:A,0))&amp;" - "&amp;IF(MID(A206,2,2)="CA","Cash Advance",IF(MID(A206,2,2)="OC","OCT",IF(MID(A206,2,2)="PC","PWCB",IF(MID(A206,2,2)="RF","Refund",IF(MID(A206,2,2)="PU","Purchase")))))</f>
        <v>Diners UK (Elavon) - Refund</v>
      </c>
      <c r="L206">
        <v>933</v>
      </c>
      <c r="M206">
        <v>503</v>
      </c>
      <c r="N206" t="str">
        <f t="shared" si="6"/>
        <v>INSERT INTO [dbo].[Contracts] ([Id], [ChargeCodes], [PPI], [PPC], [MerchanID], [Descriptions]) VALUES (933, 'ARFDUK', '1.5', '0.01567', 'Auchan', 'Diners UK (Elavon) - Refund')</v>
      </c>
      <c r="O206" t="str">
        <f t="shared" si="7"/>
        <v>INSERT INTO [dbo].[Contracts] ([Id], [M1ChargeCodes], [M1PPI], [M1PPC], [M1MerchanID]) VALUES (503, 'ARFDUK', '1.5', '0.01567', 'MERCH00002')</v>
      </c>
    </row>
    <row r="207" spans="1:15" hidden="1" x14ac:dyDescent="0.3">
      <c r="A207" s="38" t="s">
        <v>221</v>
      </c>
      <c r="B207" s="38">
        <v>1.5</v>
      </c>
      <c r="C207" s="41">
        <v>1.567E-2</v>
      </c>
      <c r="D207" s="38" t="s">
        <v>765</v>
      </c>
      <c r="E207" s="37"/>
      <c r="F207" s="38" t="s">
        <v>221</v>
      </c>
      <c r="G207" s="38">
        <v>1.5</v>
      </c>
      <c r="H207" s="41">
        <v>1.567E-2</v>
      </c>
      <c r="I207" t="s">
        <v>762</v>
      </c>
      <c r="J207" s="38" t="s">
        <v>1069</v>
      </c>
      <c r="K207" t="str">
        <f>INDEX(psegm!B:B,MATCH(RIGHT(contract!A207,5),psegm!A:A,0))&amp;" - "&amp;IF(MID(A207,2,2)="CA","Cash Advance",IF(MID(A207,2,2)="OC","OCT",IF(MID(A207,2,2)="PC","PWCB",IF(MID(A207,2,2)="RF","Refund",IF(MID(A207,2,2)="PU","Purchase")))))</f>
        <v>LaSer - Refund</v>
      </c>
      <c r="L207">
        <v>934</v>
      </c>
      <c r="M207">
        <v>504</v>
      </c>
      <c r="N207" t="str">
        <f t="shared" si="6"/>
        <v>INSERT INTO [dbo].[Contracts] ([Id], [ChargeCodes], [PPI], [PPC], [MerchanID], [Descriptions]) VALUES (934, 'ARFLASER', '1.5', '0.01567', 'Auchan', 'LaSer - Refund')</v>
      </c>
      <c r="O207" t="str">
        <f t="shared" si="7"/>
        <v>INSERT INTO [dbo].[Contracts] ([Id], [M1ChargeCodes], [M1PPI], [M1PPC], [M1MerchanID]) VALUES (504, 'ARFLASER', '1.5', '0.01567', 'MERCH00002')</v>
      </c>
    </row>
    <row r="208" spans="1:15" hidden="1" x14ac:dyDescent="0.3">
      <c r="A208" s="38" t="s">
        <v>222</v>
      </c>
      <c r="B208" s="38">
        <v>1.5</v>
      </c>
      <c r="C208" s="41">
        <v>1.567E-2</v>
      </c>
      <c r="D208" s="38" t="s">
        <v>765</v>
      </c>
      <c r="E208" s="37"/>
      <c r="F208" s="38" t="s">
        <v>222</v>
      </c>
      <c r="G208" s="38">
        <v>1.5</v>
      </c>
      <c r="H208" s="41">
        <v>1.567E-2</v>
      </c>
      <c r="I208" t="s">
        <v>762</v>
      </c>
      <c r="J208" s="38" t="s">
        <v>1070</v>
      </c>
      <c r="K208" t="str">
        <f>INDEX(psegm!B:B,MATCH(RIGHT(contract!A208,5),psegm!A:A,0))&amp;" - "&amp;IF(MID(A208,2,2)="CA","Cash Advance",IF(MID(A208,2,2)="OC","OCT",IF(MID(A208,2,2)="PC","PWCB",IF(MID(A208,2,2)="RF","Refund",IF(MID(A208,2,2)="PU","Purchase")))))</f>
        <v>JCB UK - Refund</v>
      </c>
      <c r="L208">
        <v>935</v>
      </c>
      <c r="M208">
        <v>505</v>
      </c>
      <c r="N208" t="str">
        <f t="shared" si="6"/>
        <v>INSERT INTO [dbo].[Contracts] ([Id], [ChargeCodes], [PPI], [PPC], [MerchanID], [Descriptions]) VALUES (935, 'ARFJCBUK', '1.5', '0.01567', 'Auchan', 'JCB UK - Refund')</v>
      </c>
      <c r="O208" t="str">
        <f t="shared" si="7"/>
        <v>INSERT INTO [dbo].[Contracts] ([Id], [M1ChargeCodes], [M1PPI], [M1PPC], [M1MerchanID]) VALUES (505, 'ARFJCBUK', '1.5', '0.01567', 'MERCH00002')</v>
      </c>
    </row>
    <row r="209" spans="1:15" hidden="1" x14ac:dyDescent="0.3">
      <c r="A209" s="38" t="s">
        <v>223</v>
      </c>
      <c r="B209" s="38">
        <v>1.5</v>
      </c>
      <c r="C209" s="41">
        <v>1.567E-2</v>
      </c>
      <c r="D209" s="38" t="s">
        <v>765</v>
      </c>
      <c r="E209" s="37"/>
      <c r="F209" s="38" t="s">
        <v>223</v>
      </c>
      <c r="G209" s="38">
        <v>1.5</v>
      </c>
      <c r="H209" s="41">
        <v>1.567E-2</v>
      </c>
      <c r="I209" t="s">
        <v>762</v>
      </c>
      <c r="J209" s="38" t="s">
        <v>1071</v>
      </c>
      <c r="K209" t="str">
        <f>INDEX(psegm!B:B,MATCH(RIGHT(contract!A209,6),psegm!A:A,0))&amp;" - "&amp;IF(MID(A209,2,2)="CA","Cash Advance",IF(MID(A209,2,2)="OC","OCT",IF(MID(A209,2,2)="PC","PWCB",IF(MID(A209,2,2)="RF","Refund",IF(MID(A209,2,2)="PU","Purchase")))))</f>
        <v>JCB ROI - Refund</v>
      </c>
      <c r="L209">
        <v>936</v>
      </c>
      <c r="M209">
        <v>506</v>
      </c>
      <c r="N209" t="str">
        <f t="shared" si="6"/>
        <v>INSERT INTO [dbo].[Contracts] ([Id], [ChargeCodes], [PPI], [PPC], [MerchanID], [Descriptions]) VALUES (936, 'ARFJCBROI', '1.5', '0.01567', 'Auchan', 'JCB ROI - Refund')</v>
      </c>
      <c r="O209" t="str">
        <f t="shared" si="7"/>
        <v>INSERT INTO [dbo].[Contracts] ([Id], [M1ChargeCodes], [M1PPI], [M1PPC], [M1MerchanID]) VALUES (506, 'ARFJCBROI', '1.5', '0.01567', 'MERCH00002')</v>
      </c>
    </row>
    <row r="210" spans="1:15" hidden="1" x14ac:dyDescent="0.3">
      <c r="A210" s="38" t="s">
        <v>224</v>
      </c>
      <c r="B210" s="38">
        <v>1.5</v>
      </c>
      <c r="C210" s="41">
        <v>1.567E-2</v>
      </c>
      <c r="D210" s="38" t="s">
        <v>765</v>
      </c>
      <c r="E210" s="37"/>
      <c r="F210" s="38" t="s">
        <v>224</v>
      </c>
      <c r="G210" s="38">
        <v>1.5</v>
      </c>
      <c r="H210" s="41">
        <v>1.567E-2</v>
      </c>
      <c r="I210" t="s">
        <v>762</v>
      </c>
      <c r="J210" s="38" t="s">
        <v>1072</v>
      </c>
      <c r="K210" t="str">
        <f>INDEX(psegm!B:B,MATCH(RIGHT(contract!A210,4),psegm!A:A,0))&amp;" - "&amp;IF(MID(A210,2,2)="CA","Cash Advance",IF(MID(A210,2,2)="OC","OCT",IF(MID(A210,2,2)="PC","PWCB",IF(MID(A210,2,2)="RF","Refund",IF(MID(A210,2,2)="PU","Purchase")))))</f>
        <v>JCB International - Refund</v>
      </c>
      <c r="L210">
        <v>937</v>
      </c>
      <c r="M210">
        <v>507</v>
      </c>
      <c r="N210" t="str">
        <f t="shared" si="6"/>
        <v>INSERT INTO [dbo].[Contracts] ([Id], [ChargeCodes], [PPI], [PPC], [MerchanID], [Descriptions]) VALUES (937, 'ARFJCBI', '1.5', '0.01567', 'Auchan', 'JCB International - Refund')</v>
      </c>
      <c r="O210" t="str">
        <f t="shared" si="7"/>
        <v>INSERT INTO [dbo].[Contracts] ([Id], [M1ChargeCodes], [M1PPI], [M1PPC], [M1MerchanID]) VALUES (507, 'ARFJCBI', '1.5', '0.01567', 'MERCH00002')</v>
      </c>
    </row>
    <row r="211" spans="1:15" hidden="1" x14ac:dyDescent="0.3">
      <c r="A211" s="38" t="s">
        <v>225</v>
      </c>
      <c r="B211" s="38">
        <v>1.5</v>
      </c>
      <c r="C211" s="41">
        <v>1.567E-2</v>
      </c>
      <c r="D211" s="38" t="s">
        <v>765</v>
      </c>
      <c r="E211" s="37"/>
      <c r="F211" s="38" t="s">
        <v>225</v>
      </c>
      <c r="G211" s="38">
        <v>1.5</v>
      </c>
      <c r="H211" s="41">
        <v>1.567E-2</v>
      </c>
      <c r="I211" t="s">
        <v>762</v>
      </c>
      <c r="J211" s="38" t="s">
        <v>1073</v>
      </c>
      <c r="K211" t="str">
        <f>INDEX(psegm!B:B,MATCH(RIGHT(contract!A211,2),psegm!A:A,0))&amp;" - "&amp;IF(MID(A211,2,2)="CA","Cash Advance",IF(MID(A211,2,2)="OC","OCT",IF(MID(A211,2,2)="PC","PWCB",IF(MID(A211,2,2)="RF","Refund",IF(MID(A211,2,2)="PU","Purchase")))))</f>
        <v>Keyfuels - Refund</v>
      </c>
      <c r="L211">
        <v>938</v>
      </c>
      <c r="M211">
        <v>508</v>
      </c>
      <c r="N211" t="str">
        <f t="shared" si="6"/>
        <v>INSERT INTO [dbo].[Contracts] ([Id], [ChargeCodes], [PPI], [PPC], [MerchanID], [Descriptions]) VALUES (938, 'ARFKF', '1.5', '0.01567', 'Auchan', 'Keyfuels - Refund')</v>
      </c>
      <c r="O211" t="str">
        <f t="shared" si="7"/>
        <v>INSERT INTO [dbo].[Contracts] ([Id], [M1ChargeCodes], [M1PPI], [M1PPC], [M1MerchanID]) VALUES (508, 'ARFKF', '1.5', '0.01567', 'MERCH00002')</v>
      </c>
    </row>
    <row r="212" spans="1:15" hidden="1" x14ac:dyDescent="0.3">
      <c r="A212" s="38" t="s">
        <v>226</v>
      </c>
      <c r="B212" s="38">
        <v>1.5</v>
      </c>
      <c r="C212" s="41">
        <v>1.567E-2</v>
      </c>
      <c r="D212" s="38" t="s">
        <v>765</v>
      </c>
      <c r="E212" s="37"/>
      <c r="F212" s="38" t="s">
        <v>226</v>
      </c>
      <c r="G212" s="38">
        <v>1.5</v>
      </c>
      <c r="H212" s="41">
        <v>1.567E-2</v>
      </c>
      <c r="I212" t="s">
        <v>762</v>
      </c>
      <c r="J212" s="38" t="s">
        <v>1074</v>
      </c>
      <c r="K212" t="str">
        <f>INDEX(psegm!B:B,MATCH(RIGHT(contract!A212,5),psegm!A:A,0))&amp;" - "&amp;IF(MID(A212,2,2)="CA","Cash Advance",IF(MID(A212,2,2)="OC","OCT",IF(MID(A212,2,2)="PC","PWCB",IF(MID(A212,2,2)="RF","Refund",IF(MID(A212,2,2)="PU","Purchase")))))</f>
        <v>Sears - Refund</v>
      </c>
      <c r="L212">
        <v>939</v>
      </c>
      <c r="M212">
        <v>509</v>
      </c>
      <c r="N212" t="str">
        <f t="shared" si="6"/>
        <v>INSERT INTO [dbo].[Contracts] ([Id], [ChargeCodes], [PPI], [PPC], [MerchanID], [Descriptions]) VALUES (939, 'ARFSTARS', '1.5', '0.01567', 'Auchan', 'Sears - Refund')</v>
      </c>
      <c r="O212" t="str">
        <f t="shared" si="7"/>
        <v>INSERT INTO [dbo].[Contracts] ([Id], [M1ChargeCodes], [M1PPI], [M1PPC], [M1MerchanID]) VALUES (509, 'ARFSTARS', '1.5', '0.01567', 'MERCH00002')</v>
      </c>
    </row>
    <row r="213" spans="1:15" hidden="1" x14ac:dyDescent="0.3">
      <c r="A213" s="38" t="s">
        <v>758</v>
      </c>
      <c r="B213" s="38">
        <v>1.5</v>
      </c>
      <c r="C213" s="41">
        <v>1.567E-2</v>
      </c>
      <c r="D213" s="38" t="s">
        <v>765</v>
      </c>
      <c r="E213" s="37"/>
      <c r="F213" s="38" t="s">
        <v>758</v>
      </c>
      <c r="G213" s="38">
        <v>1.5</v>
      </c>
      <c r="H213" s="41">
        <v>1.567E-2</v>
      </c>
      <c r="I213" t="s">
        <v>762</v>
      </c>
      <c r="J213" s="38" t="s">
        <v>1075</v>
      </c>
      <c r="K213" t="str">
        <f>INDEX(psegm!B:B,MATCH(RIGHT(contract!A213,3),psegm!A:A,0))&amp;" - "&amp;IF(MID(A213,2,2)="CA","Cash Advance",IF(MID(A213,2,2)="OC","OCT",IF(MID(A213,2,2)="PC","PWCB",IF(MID(A213,2,2)="RF","Refund",IF(MID(A213,2,2)="PU","Purchase")))))</f>
        <v>JCB - Cash Advance</v>
      </c>
      <c r="L213">
        <v>940</v>
      </c>
      <c r="M213">
        <v>510</v>
      </c>
      <c r="N213" t="str">
        <f t="shared" si="6"/>
        <v>INSERT INTO [dbo].[Contracts] ([Id], [ChargeCodes], [PPI], [PPC], [MerchanID], [Descriptions]) VALUES (940, 'ACAJCB', '1.5', '0.01567', 'Auchan', 'JCB - Cash Advance')</v>
      </c>
      <c r="O213" t="str">
        <f t="shared" si="7"/>
        <v>INSERT INTO [dbo].[Contracts] ([Id], [M1ChargeCodes], [M1PPI], [M1PPC], [M1MerchanID]) VALUES (510, 'ACAJCB', '1.5', '0.01567', 'MERCH00002')</v>
      </c>
    </row>
    <row r="214" spans="1:15" hidden="1" x14ac:dyDescent="0.3">
      <c r="A214" s="38" t="s">
        <v>759</v>
      </c>
      <c r="B214" s="38">
        <v>1.5</v>
      </c>
      <c r="C214" s="41">
        <v>1.567E-2</v>
      </c>
      <c r="D214" s="38" t="s">
        <v>765</v>
      </c>
      <c r="E214" s="37"/>
      <c r="F214" s="38" t="s">
        <v>759</v>
      </c>
      <c r="G214" s="38">
        <v>1.5</v>
      </c>
      <c r="H214" s="41">
        <v>1.567E-2</v>
      </c>
      <c r="I214" t="s">
        <v>762</v>
      </c>
      <c r="J214" s="38" t="s">
        <v>1076</v>
      </c>
      <c r="K214" t="str">
        <f>INDEX(psegm!B:B,MATCH(RIGHT(contract!A214,3),psegm!A:A,0))&amp;" - "&amp;IF(MID(A214,2,2)="CA","Cash Advance",IF(MID(A214,2,2)="OC","OCT",IF(MID(A214,2,2)="PC","PWCB",IF(MID(A214,2,2)="RF","Refund",IF(MID(A214,2,2)="PU","Purchase")))))</f>
        <v>JCB - OCT</v>
      </c>
      <c r="L214">
        <v>941</v>
      </c>
      <c r="M214">
        <v>511</v>
      </c>
      <c r="N214" t="str">
        <f t="shared" si="6"/>
        <v>INSERT INTO [dbo].[Contracts] ([Id], [ChargeCodes], [PPI], [PPC], [MerchanID], [Descriptions]) VALUES (941, 'AOCJCB', '1.5', '0.01567', 'Auchan', 'JCB - OCT')</v>
      </c>
      <c r="O214" t="str">
        <f t="shared" si="7"/>
        <v>INSERT INTO [dbo].[Contracts] ([Id], [M1ChargeCodes], [M1PPI], [M1PPC], [M1MerchanID]) VALUES (511, 'AOCJCB', '1.5', '0.01567', 'MERCH00002')</v>
      </c>
    </row>
    <row r="215" spans="1:15" hidden="1" x14ac:dyDescent="0.3">
      <c r="A215" s="38" t="s">
        <v>760</v>
      </c>
      <c r="B215" s="38">
        <v>1.5</v>
      </c>
      <c r="C215" s="41">
        <v>1.567E-2</v>
      </c>
      <c r="D215" s="38" t="s">
        <v>765</v>
      </c>
      <c r="E215" s="37"/>
      <c r="F215" s="38" t="s">
        <v>760</v>
      </c>
      <c r="G215" s="38">
        <v>1.5</v>
      </c>
      <c r="H215" s="41">
        <v>1.567E-2</v>
      </c>
      <c r="I215" t="s">
        <v>762</v>
      </c>
      <c r="J215" s="38" t="s">
        <v>1077</v>
      </c>
      <c r="K215" t="str">
        <f>INDEX(psegm!B:B,MATCH(RIGHT(contract!A215,3),psegm!A:A,0))&amp;" - "&amp;IF(MID(A215,2,2)="CA","Cash Advance",IF(MID(A215,2,2)="OC","OCT",IF(MID(A215,2,2)="PC","PWCB",IF(MID(A215,2,2)="RF","Refund",IF(MID(A215,2,2)="PU","Purchase")))))</f>
        <v>JCB - PWCB</v>
      </c>
      <c r="L215">
        <v>942</v>
      </c>
      <c r="M215">
        <v>512</v>
      </c>
      <c r="N215" t="str">
        <f t="shared" si="6"/>
        <v>INSERT INTO [dbo].[Contracts] ([Id], [ChargeCodes], [PPI], [PPC], [MerchanID], [Descriptions]) VALUES (942, 'APCJCB', '1.5', '0.01567', 'Auchan', 'JCB - PWCB')</v>
      </c>
      <c r="O215" t="str">
        <f t="shared" si="7"/>
        <v>INSERT INTO [dbo].[Contracts] ([Id], [M1ChargeCodes], [M1PPI], [M1PPC], [M1MerchanID]) VALUES (512, 'APCJCB', '1.5', '0.01567', 'MERCH00002')</v>
      </c>
    </row>
    <row r="216" spans="1:15" hidden="1" x14ac:dyDescent="0.3">
      <c r="A216" s="38" t="s">
        <v>166</v>
      </c>
      <c r="B216" s="38">
        <v>1.5</v>
      </c>
      <c r="C216" s="41">
        <v>1.567E-2</v>
      </c>
      <c r="D216" s="38" t="s">
        <v>765</v>
      </c>
      <c r="E216" s="37"/>
      <c r="F216" s="38" t="s">
        <v>166</v>
      </c>
      <c r="G216" s="38">
        <v>1.5</v>
      </c>
      <c r="H216" s="41">
        <v>1.567E-2</v>
      </c>
      <c r="I216" t="s">
        <v>762</v>
      </c>
      <c r="J216" s="38" t="s">
        <v>1078</v>
      </c>
      <c r="K216" t="str">
        <f>INDEX(psegm!B:B,MATCH(RIGHT(contract!A216,3),psegm!A:A,0))&amp;" - "&amp;IF(MID(A216,2,2)="CA","Cash Advance",IF(MID(A216,2,2)="OC","OCT",IF(MID(A216,2,2)="PC","PWCB",IF(MID(A216,2,2)="RF","Refund",IF(MID(A216,2,2)="PU","Purchase")))))</f>
        <v>JCB - Purchase</v>
      </c>
      <c r="L216">
        <v>943</v>
      </c>
      <c r="M216">
        <v>513</v>
      </c>
      <c r="N216" t="str">
        <f t="shared" si="6"/>
        <v>INSERT INTO [dbo].[Contracts] ([Id], [ChargeCodes], [PPI], [PPC], [MerchanID], [Descriptions]) VALUES (943, 'APUJCB', '1.5', '0.01567', 'Auchan', 'JCB - Purchase')</v>
      </c>
      <c r="O216" t="str">
        <f t="shared" si="7"/>
        <v>INSERT INTO [dbo].[Contracts] ([Id], [M1ChargeCodes], [M1PPI], [M1PPC], [M1MerchanID]) VALUES (513, 'APUJCB', '1.5', '0.01567', 'MERCH00002')</v>
      </c>
    </row>
    <row r="217" spans="1:15" hidden="1" x14ac:dyDescent="0.3">
      <c r="A217" s="38" t="s">
        <v>761</v>
      </c>
      <c r="B217" s="38">
        <v>1.5</v>
      </c>
      <c r="C217" s="41">
        <v>1.567E-2</v>
      </c>
      <c r="D217" s="38" t="s">
        <v>765</v>
      </c>
      <c r="E217" s="37"/>
      <c r="F217" s="38" t="s">
        <v>761</v>
      </c>
      <c r="G217" s="38">
        <v>1.5</v>
      </c>
      <c r="H217" s="41">
        <v>1.567E-2</v>
      </c>
      <c r="I217" t="s">
        <v>762</v>
      </c>
      <c r="J217" s="38" t="s">
        <v>1079</v>
      </c>
      <c r="K217" t="str">
        <f>INDEX(psegm!B:B,MATCH(RIGHT(contract!A217,3),psegm!A:A,0))&amp;" - "&amp;IF(MID(A217,2,2)="CA","Cash Advance",IF(MID(A217,2,2)="OC","OCT",IF(MID(A217,2,2)="PC","PWCB",IF(MID(A217,2,2)="RF","Refund",IF(MID(A217,2,2)="PU","Purchase")))))</f>
        <v>JCB - Refund</v>
      </c>
      <c r="L217">
        <v>944</v>
      </c>
      <c r="M217">
        <v>514</v>
      </c>
      <c r="N217" t="str">
        <f t="shared" si="6"/>
        <v>INSERT INTO [dbo].[Contracts] ([Id], [ChargeCodes], [PPI], [PPC], [MerchanID], [Descriptions]) VALUES (944, 'ARFJCB', '1.5', '0.01567', 'Auchan', 'JCB - Refund')</v>
      </c>
      <c r="O217" t="str">
        <f t="shared" si="7"/>
        <v>INSERT INTO [dbo].[Contracts] ([Id], [M1ChargeCodes], [M1PPI], [M1PPC], [M1MerchanID]) VALUES (514, 'ARFJCB', '1.5', '0.01567', 'MERCH00002')</v>
      </c>
    </row>
    <row r="218" spans="1:15" hidden="1" x14ac:dyDescent="0.3">
      <c r="A218" s="38" t="s">
        <v>766</v>
      </c>
      <c r="B218" s="38">
        <v>1.6</v>
      </c>
      <c r="C218" s="41">
        <v>1.77E-2</v>
      </c>
      <c r="D218" s="38" t="s">
        <v>765</v>
      </c>
      <c r="F218" s="38" t="s">
        <v>766</v>
      </c>
      <c r="G218" s="38">
        <v>1.6</v>
      </c>
      <c r="H218" s="41">
        <v>1.77E-2</v>
      </c>
      <c r="I218" t="s">
        <v>762</v>
      </c>
      <c r="J218" s="38" t="s">
        <v>1080</v>
      </c>
      <c r="N218" t="s">
        <v>764</v>
      </c>
    </row>
    <row r="219" spans="1:15" hidden="1" x14ac:dyDescent="0.3">
      <c r="A219" s="38" t="s">
        <v>767</v>
      </c>
      <c r="B219" s="38">
        <v>1.6</v>
      </c>
      <c r="C219" s="41">
        <v>1.77E-2</v>
      </c>
      <c r="D219" s="38" t="s">
        <v>765</v>
      </c>
      <c r="F219" s="38" t="s">
        <v>767</v>
      </c>
      <c r="G219" s="38">
        <v>1.6</v>
      </c>
      <c r="H219" s="41">
        <v>1.77E-2</v>
      </c>
      <c r="I219" t="s">
        <v>762</v>
      </c>
      <c r="J219" s="38" t="s">
        <v>1081</v>
      </c>
    </row>
    <row r="220" spans="1:15" hidden="1" x14ac:dyDescent="0.3">
      <c r="A220" s="38" t="s">
        <v>768</v>
      </c>
      <c r="B220" s="38">
        <v>1.6</v>
      </c>
      <c r="C220" s="41">
        <v>1.77E-2</v>
      </c>
      <c r="D220" s="38" t="s">
        <v>765</v>
      </c>
      <c r="F220" s="38" t="s">
        <v>768</v>
      </c>
      <c r="G220" s="38">
        <v>1.6</v>
      </c>
      <c r="H220" s="41">
        <v>1.77E-2</v>
      </c>
      <c r="I220" t="s">
        <v>762</v>
      </c>
      <c r="J220" s="38" t="s">
        <v>1082</v>
      </c>
    </row>
    <row r="221" spans="1:15" hidden="1" x14ac:dyDescent="0.3">
      <c r="A221" s="38" t="s">
        <v>769</v>
      </c>
      <c r="B221" s="38">
        <v>1.6</v>
      </c>
      <c r="C221" s="41">
        <v>1.77E-2</v>
      </c>
      <c r="D221" s="38" t="s">
        <v>765</v>
      </c>
      <c r="F221" s="38" t="s">
        <v>769</v>
      </c>
      <c r="G221" s="38">
        <v>1.6</v>
      </c>
      <c r="H221" s="41">
        <v>1.77E-2</v>
      </c>
      <c r="I221" t="s">
        <v>762</v>
      </c>
      <c r="J221" s="38" t="s">
        <v>1083</v>
      </c>
    </row>
    <row r="222" spans="1:15" hidden="1" x14ac:dyDescent="0.3">
      <c r="A222" s="38" t="s">
        <v>770</v>
      </c>
      <c r="B222" s="38">
        <v>1.6</v>
      </c>
      <c r="C222" s="41">
        <v>1.77E-2</v>
      </c>
      <c r="D222" s="38" t="s">
        <v>765</v>
      </c>
      <c r="F222" s="38" t="s">
        <v>770</v>
      </c>
      <c r="G222" s="38">
        <v>1.6</v>
      </c>
      <c r="H222" s="41">
        <v>1.77E-2</v>
      </c>
      <c r="I222" t="s">
        <v>762</v>
      </c>
      <c r="J222" s="38" t="s">
        <v>1084</v>
      </c>
    </row>
    <row r="223" spans="1:15" hidden="1" x14ac:dyDescent="0.3">
      <c r="A223" s="38" t="s">
        <v>771</v>
      </c>
      <c r="B223" s="38">
        <v>1.6</v>
      </c>
      <c r="C223" s="41">
        <v>1.77E-2</v>
      </c>
      <c r="D223" s="38" t="s">
        <v>765</v>
      </c>
      <c r="F223" s="38" t="s">
        <v>771</v>
      </c>
      <c r="G223" s="38">
        <v>1.6</v>
      </c>
      <c r="H223" s="41">
        <v>1.77E-2</v>
      </c>
      <c r="I223" t="s">
        <v>762</v>
      </c>
      <c r="J223" s="38" t="s">
        <v>1085</v>
      </c>
    </row>
    <row r="224" spans="1:15" hidden="1" x14ac:dyDescent="0.3">
      <c r="A224" s="38" t="s">
        <v>772</v>
      </c>
      <c r="B224" s="38">
        <v>1.6</v>
      </c>
      <c r="C224" s="41">
        <v>1.77E-2</v>
      </c>
      <c r="D224" s="38" t="s">
        <v>765</v>
      </c>
      <c r="F224" s="38" t="s">
        <v>772</v>
      </c>
      <c r="G224" s="38">
        <v>1.6</v>
      </c>
      <c r="H224" s="41">
        <v>1.77E-2</v>
      </c>
      <c r="I224" t="s">
        <v>762</v>
      </c>
      <c r="J224" s="38" t="s">
        <v>1086</v>
      </c>
    </row>
    <row r="225" spans="1:10" hidden="1" x14ac:dyDescent="0.3">
      <c r="A225" s="38" t="s">
        <v>773</v>
      </c>
      <c r="B225" s="38">
        <v>1.6</v>
      </c>
      <c r="C225" s="41">
        <v>1.77E-2</v>
      </c>
      <c r="D225" s="38" t="s">
        <v>765</v>
      </c>
      <c r="F225" s="38" t="s">
        <v>773</v>
      </c>
      <c r="G225" s="38">
        <v>1.6</v>
      </c>
      <c r="H225" s="41">
        <v>1.77E-2</v>
      </c>
      <c r="I225" t="s">
        <v>762</v>
      </c>
      <c r="J225" s="38" t="s">
        <v>1087</v>
      </c>
    </row>
    <row r="226" spans="1:10" hidden="1" x14ac:dyDescent="0.3">
      <c r="A226" s="38" t="s">
        <v>774</v>
      </c>
      <c r="B226" s="38">
        <v>1.6</v>
      </c>
      <c r="C226" s="41">
        <v>1.77E-2</v>
      </c>
      <c r="D226" s="38" t="s">
        <v>765</v>
      </c>
      <c r="F226" s="38" t="s">
        <v>774</v>
      </c>
      <c r="G226" s="38">
        <v>1.6</v>
      </c>
      <c r="H226" s="41">
        <v>1.77E-2</v>
      </c>
      <c r="I226" t="s">
        <v>762</v>
      </c>
      <c r="J226" s="38" t="s">
        <v>1088</v>
      </c>
    </row>
    <row r="227" spans="1:10" hidden="1" x14ac:dyDescent="0.3">
      <c r="A227" s="38" t="s">
        <v>775</v>
      </c>
      <c r="B227" s="38">
        <v>1.6</v>
      </c>
      <c r="C227" s="41">
        <v>1.77E-2</v>
      </c>
      <c r="D227" s="38" t="s">
        <v>765</v>
      </c>
      <c r="F227" s="38" t="s">
        <v>775</v>
      </c>
      <c r="G227" s="38">
        <v>1.6</v>
      </c>
      <c r="H227" s="41">
        <v>1.77E-2</v>
      </c>
      <c r="I227" t="s">
        <v>762</v>
      </c>
      <c r="J227" s="38" t="s">
        <v>1089</v>
      </c>
    </row>
    <row r="228" spans="1:10" hidden="1" x14ac:dyDescent="0.3">
      <c r="A228" s="38" t="s">
        <v>776</v>
      </c>
      <c r="B228" s="38">
        <v>1.6</v>
      </c>
      <c r="C228" s="41">
        <v>1.77E-2</v>
      </c>
      <c r="D228" s="38" t="s">
        <v>765</v>
      </c>
      <c r="F228" s="38" t="s">
        <v>776</v>
      </c>
      <c r="G228" s="38">
        <v>1.6</v>
      </c>
      <c r="H228" s="41">
        <v>1.77E-2</v>
      </c>
      <c r="I228" t="s">
        <v>762</v>
      </c>
      <c r="J228" s="38" t="s">
        <v>1090</v>
      </c>
    </row>
    <row r="229" spans="1:10" hidden="1" x14ac:dyDescent="0.3">
      <c r="A229" s="38" t="s">
        <v>777</v>
      </c>
      <c r="B229" s="38">
        <v>1.6</v>
      </c>
      <c r="C229" s="41">
        <v>1.77E-2</v>
      </c>
      <c r="D229" s="38" t="s">
        <v>765</v>
      </c>
      <c r="F229" s="38" t="s">
        <v>777</v>
      </c>
      <c r="G229" s="38">
        <v>1.6</v>
      </c>
      <c r="H229" s="41">
        <v>1.77E-2</v>
      </c>
      <c r="I229" t="s">
        <v>762</v>
      </c>
      <c r="J229" s="38" t="s">
        <v>1091</v>
      </c>
    </row>
    <row r="230" spans="1:10" hidden="1" x14ac:dyDescent="0.3">
      <c r="A230" s="38" t="s">
        <v>778</v>
      </c>
      <c r="B230" s="38">
        <v>1.6</v>
      </c>
      <c r="C230" s="41">
        <v>1.77E-2</v>
      </c>
      <c r="D230" s="38" t="s">
        <v>765</v>
      </c>
      <c r="F230" s="38" t="s">
        <v>778</v>
      </c>
      <c r="G230" s="38">
        <v>1.6</v>
      </c>
      <c r="H230" s="41">
        <v>1.77E-2</v>
      </c>
      <c r="I230" t="s">
        <v>762</v>
      </c>
      <c r="J230" s="38" t="s">
        <v>1092</v>
      </c>
    </row>
    <row r="231" spans="1:10" hidden="1" x14ac:dyDescent="0.3">
      <c r="A231" s="38" t="s">
        <v>779</v>
      </c>
      <c r="B231" s="38">
        <v>1.6</v>
      </c>
      <c r="C231" s="41">
        <v>1.77E-2</v>
      </c>
      <c r="D231" s="38" t="s">
        <v>765</v>
      </c>
      <c r="F231" s="38" t="s">
        <v>779</v>
      </c>
      <c r="G231" s="38">
        <v>1.6</v>
      </c>
      <c r="H231" s="41">
        <v>1.77E-2</v>
      </c>
      <c r="I231" t="s">
        <v>762</v>
      </c>
      <c r="J231" s="38" t="s">
        <v>1093</v>
      </c>
    </row>
    <row r="232" spans="1:10" hidden="1" x14ac:dyDescent="0.3">
      <c r="A232" s="38" t="s">
        <v>780</v>
      </c>
      <c r="B232" s="38">
        <v>1.6</v>
      </c>
      <c r="C232" s="41">
        <v>1.77E-2</v>
      </c>
      <c r="D232" s="38" t="s">
        <v>765</v>
      </c>
      <c r="F232" s="38" t="s">
        <v>780</v>
      </c>
      <c r="G232" s="38">
        <v>1.6</v>
      </c>
      <c r="H232" s="41">
        <v>1.77E-2</v>
      </c>
      <c r="I232" t="s">
        <v>762</v>
      </c>
      <c r="J232" s="38" t="s">
        <v>1094</v>
      </c>
    </row>
    <row r="233" spans="1:10" hidden="1" x14ac:dyDescent="0.3">
      <c r="A233" s="38" t="s">
        <v>781</v>
      </c>
      <c r="B233" s="38">
        <v>1.6</v>
      </c>
      <c r="C233" s="41">
        <v>1.77E-2</v>
      </c>
      <c r="D233" s="38" t="s">
        <v>765</v>
      </c>
      <c r="F233" s="38" t="s">
        <v>781</v>
      </c>
      <c r="G233" s="38">
        <v>1.6</v>
      </c>
      <c r="H233" s="41">
        <v>1.77E-2</v>
      </c>
      <c r="I233" t="s">
        <v>762</v>
      </c>
      <c r="J233" s="38" t="s">
        <v>1095</v>
      </c>
    </row>
    <row r="234" spans="1:10" hidden="1" x14ac:dyDescent="0.3">
      <c r="A234" s="38" t="s">
        <v>782</v>
      </c>
      <c r="B234" s="38">
        <v>1.6</v>
      </c>
      <c r="C234" s="41">
        <v>1.77E-2</v>
      </c>
      <c r="D234" s="38" t="s">
        <v>765</v>
      </c>
      <c r="F234" s="38" t="s">
        <v>782</v>
      </c>
      <c r="G234" s="38">
        <v>1.6</v>
      </c>
      <c r="H234" s="41">
        <v>1.77E-2</v>
      </c>
      <c r="I234" t="s">
        <v>762</v>
      </c>
      <c r="J234" s="38" t="s">
        <v>1096</v>
      </c>
    </row>
    <row r="235" spans="1:10" hidden="1" x14ac:dyDescent="0.3">
      <c r="A235" s="38" t="s">
        <v>783</v>
      </c>
      <c r="B235" s="38">
        <v>1.6</v>
      </c>
      <c r="C235" s="41">
        <v>1.77E-2</v>
      </c>
      <c r="D235" s="38" t="s">
        <v>765</v>
      </c>
      <c r="F235" s="38" t="s">
        <v>783</v>
      </c>
      <c r="G235" s="38">
        <v>1.6</v>
      </c>
      <c r="H235" s="41">
        <v>1.77E-2</v>
      </c>
      <c r="I235" t="s">
        <v>762</v>
      </c>
      <c r="J235" s="38" t="s">
        <v>1097</v>
      </c>
    </row>
    <row r="236" spans="1:10" hidden="1" x14ac:dyDescent="0.3">
      <c r="A236" s="38" t="s">
        <v>784</v>
      </c>
      <c r="B236" s="38">
        <v>1.6</v>
      </c>
      <c r="C236" s="41">
        <v>1.77E-2</v>
      </c>
      <c r="D236" s="38" t="s">
        <v>765</v>
      </c>
      <c r="F236" s="38" t="s">
        <v>784</v>
      </c>
      <c r="G236" s="38">
        <v>1.6</v>
      </c>
      <c r="H236" s="41">
        <v>1.77E-2</v>
      </c>
      <c r="I236" t="s">
        <v>762</v>
      </c>
      <c r="J236" s="38" t="s">
        <v>1098</v>
      </c>
    </row>
    <row r="237" spans="1:10" hidden="1" x14ac:dyDescent="0.3">
      <c r="A237" s="38" t="s">
        <v>785</v>
      </c>
      <c r="B237" s="38">
        <v>1.6</v>
      </c>
      <c r="C237" s="41">
        <v>1.77E-2</v>
      </c>
      <c r="D237" s="38" t="s">
        <v>765</v>
      </c>
      <c r="F237" s="38" t="s">
        <v>785</v>
      </c>
      <c r="G237" s="38">
        <v>1.6</v>
      </c>
      <c r="H237" s="41">
        <v>1.77E-2</v>
      </c>
      <c r="I237" t="s">
        <v>762</v>
      </c>
      <c r="J237" s="38" t="s">
        <v>1099</v>
      </c>
    </row>
    <row r="238" spans="1:10" hidden="1" x14ac:dyDescent="0.3">
      <c r="A238" s="38" t="s">
        <v>786</v>
      </c>
      <c r="B238" s="38">
        <v>1.6</v>
      </c>
      <c r="C238" s="41">
        <v>1.77E-2</v>
      </c>
      <c r="D238" s="38" t="s">
        <v>765</v>
      </c>
      <c r="F238" s="38" t="s">
        <v>786</v>
      </c>
      <c r="G238" s="38">
        <v>1.6</v>
      </c>
      <c r="H238" s="41">
        <v>1.77E-2</v>
      </c>
      <c r="I238" t="s">
        <v>762</v>
      </c>
      <c r="J238" s="38" t="s">
        <v>1100</v>
      </c>
    </row>
    <row r="239" spans="1:10" hidden="1" x14ac:dyDescent="0.3">
      <c r="A239" s="38" t="s">
        <v>787</v>
      </c>
      <c r="B239" s="38">
        <v>1.6</v>
      </c>
      <c r="C239" s="41">
        <v>1.77E-2</v>
      </c>
      <c r="D239" s="38" t="s">
        <v>765</v>
      </c>
      <c r="F239" s="38" t="s">
        <v>787</v>
      </c>
      <c r="G239" s="38">
        <v>1.6</v>
      </c>
      <c r="H239" s="41">
        <v>1.77E-2</v>
      </c>
      <c r="I239" t="s">
        <v>762</v>
      </c>
      <c r="J239" s="38" t="s">
        <v>1101</v>
      </c>
    </row>
    <row r="240" spans="1:10" hidden="1" x14ac:dyDescent="0.3">
      <c r="A240" s="38" t="s">
        <v>788</v>
      </c>
      <c r="B240" s="38">
        <v>1.6</v>
      </c>
      <c r="C240" s="41">
        <v>1.77E-2</v>
      </c>
      <c r="D240" s="38" t="s">
        <v>765</v>
      </c>
      <c r="F240" s="38" t="s">
        <v>788</v>
      </c>
      <c r="G240" s="38">
        <v>1.6</v>
      </c>
      <c r="H240" s="41">
        <v>1.77E-2</v>
      </c>
      <c r="I240" t="s">
        <v>762</v>
      </c>
      <c r="J240" s="38" t="s">
        <v>1102</v>
      </c>
    </row>
    <row r="241" spans="1:10" hidden="1" x14ac:dyDescent="0.3">
      <c r="A241" s="38" t="s">
        <v>789</v>
      </c>
      <c r="B241" s="38">
        <v>1.6</v>
      </c>
      <c r="C241" s="41">
        <v>1.77E-2</v>
      </c>
      <c r="D241" s="38" t="s">
        <v>765</v>
      </c>
      <c r="F241" s="38" t="s">
        <v>789</v>
      </c>
      <c r="G241" s="38">
        <v>1.6</v>
      </c>
      <c r="H241" s="41">
        <v>1.77E-2</v>
      </c>
      <c r="I241" t="s">
        <v>762</v>
      </c>
      <c r="J241" s="38" t="s">
        <v>1103</v>
      </c>
    </row>
    <row r="242" spans="1:10" hidden="1" x14ac:dyDescent="0.3">
      <c r="A242" s="38" t="s">
        <v>790</v>
      </c>
      <c r="B242" s="38">
        <v>1.6</v>
      </c>
      <c r="C242" s="41">
        <v>1.77E-2</v>
      </c>
      <c r="D242" s="38" t="s">
        <v>765</v>
      </c>
      <c r="F242" s="38" t="s">
        <v>790</v>
      </c>
      <c r="G242" s="38">
        <v>1.6</v>
      </c>
      <c r="H242" s="41">
        <v>1.77E-2</v>
      </c>
      <c r="I242" t="s">
        <v>762</v>
      </c>
      <c r="J242" s="38" t="s">
        <v>1104</v>
      </c>
    </row>
    <row r="243" spans="1:10" hidden="1" x14ac:dyDescent="0.3">
      <c r="A243" s="38" t="s">
        <v>791</v>
      </c>
      <c r="B243" s="38">
        <v>1.6</v>
      </c>
      <c r="C243" s="41">
        <v>1.77E-2</v>
      </c>
      <c r="D243" s="38" t="s">
        <v>765</v>
      </c>
      <c r="F243" s="38" t="s">
        <v>791</v>
      </c>
      <c r="G243" s="38">
        <v>1.6</v>
      </c>
      <c r="H243" s="41">
        <v>1.77E-2</v>
      </c>
      <c r="I243" t="s">
        <v>762</v>
      </c>
      <c r="J243" s="38" t="s">
        <v>1105</v>
      </c>
    </row>
    <row r="244" spans="1:10" hidden="1" x14ac:dyDescent="0.3">
      <c r="A244" s="38" t="s">
        <v>792</v>
      </c>
      <c r="B244" s="38">
        <v>1.6</v>
      </c>
      <c r="C244" s="41">
        <v>1.77E-2</v>
      </c>
      <c r="D244" s="38" t="s">
        <v>765</v>
      </c>
      <c r="F244" s="38" t="s">
        <v>792</v>
      </c>
      <c r="G244" s="38">
        <v>1.6</v>
      </c>
      <c r="H244" s="41">
        <v>1.77E-2</v>
      </c>
      <c r="I244" t="s">
        <v>762</v>
      </c>
      <c r="J244" s="38" t="s">
        <v>1106</v>
      </c>
    </row>
    <row r="245" spans="1:10" hidden="1" x14ac:dyDescent="0.3">
      <c r="A245" s="38" t="s">
        <v>793</v>
      </c>
      <c r="B245" s="38">
        <v>1.6</v>
      </c>
      <c r="C245" s="41">
        <v>1.77E-2</v>
      </c>
      <c r="D245" s="38" t="s">
        <v>765</v>
      </c>
      <c r="F245" s="38" t="s">
        <v>793</v>
      </c>
      <c r="G245" s="38">
        <v>1.6</v>
      </c>
      <c r="H245" s="41">
        <v>1.77E-2</v>
      </c>
      <c r="I245" t="s">
        <v>762</v>
      </c>
      <c r="J245" s="38" t="s">
        <v>1107</v>
      </c>
    </row>
    <row r="246" spans="1:10" hidden="1" x14ac:dyDescent="0.3">
      <c r="A246" s="38" t="s">
        <v>794</v>
      </c>
      <c r="B246" s="38">
        <v>1.6</v>
      </c>
      <c r="C246" s="41">
        <v>1.77E-2</v>
      </c>
      <c r="D246" s="38" t="s">
        <v>765</v>
      </c>
      <c r="F246" s="38" t="s">
        <v>794</v>
      </c>
      <c r="G246" s="38">
        <v>1.6</v>
      </c>
      <c r="H246" s="41">
        <v>1.77E-2</v>
      </c>
      <c r="I246" t="s">
        <v>762</v>
      </c>
      <c r="J246" s="38" t="s">
        <v>1108</v>
      </c>
    </row>
    <row r="247" spans="1:10" hidden="1" x14ac:dyDescent="0.3">
      <c r="A247" s="38" t="s">
        <v>795</v>
      </c>
      <c r="B247" s="38">
        <v>1.6</v>
      </c>
      <c r="C247" s="41">
        <v>1.77E-2</v>
      </c>
      <c r="D247" s="38" t="s">
        <v>765</v>
      </c>
      <c r="F247" s="38" t="s">
        <v>795</v>
      </c>
      <c r="G247" s="38">
        <v>1.6</v>
      </c>
      <c r="H247" s="41">
        <v>1.77E-2</v>
      </c>
      <c r="I247" t="s">
        <v>762</v>
      </c>
      <c r="J247" s="38" t="s">
        <v>1109</v>
      </c>
    </row>
    <row r="248" spans="1:10" hidden="1" x14ac:dyDescent="0.3">
      <c r="A248" s="38" t="s">
        <v>796</v>
      </c>
      <c r="B248" s="38">
        <v>1.6</v>
      </c>
      <c r="C248" s="41">
        <v>1.77E-2</v>
      </c>
      <c r="D248" s="38" t="s">
        <v>765</v>
      </c>
      <c r="F248" s="38" t="s">
        <v>796</v>
      </c>
      <c r="G248" s="38">
        <v>1.6</v>
      </c>
      <c r="H248" s="41">
        <v>1.77E-2</v>
      </c>
      <c r="I248" t="s">
        <v>762</v>
      </c>
      <c r="J248" s="38" t="s">
        <v>1110</v>
      </c>
    </row>
    <row r="249" spans="1:10" hidden="1" x14ac:dyDescent="0.3">
      <c r="A249" s="38" t="s">
        <v>797</v>
      </c>
      <c r="B249" s="38">
        <v>1.6</v>
      </c>
      <c r="C249" s="41">
        <v>1.77E-2</v>
      </c>
      <c r="D249" s="38" t="s">
        <v>765</v>
      </c>
      <c r="F249" s="38" t="s">
        <v>797</v>
      </c>
      <c r="G249" s="38">
        <v>1.6</v>
      </c>
      <c r="H249" s="41">
        <v>1.77E-2</v>
      </c>
      <c r="I249" t="s">
        <v>762</v>
      </c>
      <c r="J249" s="38" t="s">
        <v>1111</v>
      </c>
    </row>
    <row r="250" spans="1:10" hidden="1" x14ac:dyDescent="0.3">
      <c r="A250" s="38" t="s">
        <v>798</v>
      </c>
      <c r="B250" s="38">
        <v>1.6</v>
      </c>
      <c r="C250" s="41">
        <v>1.77E-2</v>
      </c>
      <c r="D250" s="38" t="s">
        <v>765</v>
      </c>
      <c r="F250" s="38" t="s">
        <v>798</v>
      </c>
      <c r="G250" s="38">
        <v>1.6</v>
      </c>
      <c r="H250" s="41">
        <v>1.77E-2</v>
      </c>
      <c r="I250" t="s">
        <v>762</v>
      </c>
      <c r="J250" s="38" t="s">
        <v>1112</v>
      </c>
    </row>
    <row r="251" spans="1:10" hidden="1" x14ac:dyDescent="0.3">
      <c r="A251" s="38" t="s">
        <v>799</v>
      </c>
      <c r="B251" s="38">
        <v>1.6</v>
      </c>
      <c r="C251" s="41">
        <v>1.77E-2</v>
      </c>
      <c r="D251" s="38" t="s">
        <v>765</v>
      </c>
      <c r="F251" s="38" t="s">
        <v>799</v>
      </c>
      <c r="G251" s="38">
        <v>1.6</v>
      </c>
      <c r="H251" s="41">
        <v>1.77E-2</v>
      </c>
      <c r="I251" t="s">
        <v>762</v>
      </c>
      <c r="J251" s="38" t="s">
        <v>1113</v>
      </c>
    </row>
    <row r="252" spans="1:10" hidden="1" x14ac:dyDescent="0.3">
      <c r="A252" s="38" t="s">
        <v>800</v>
      </c>
      <c r="B252" s="38">
        <v>1.6</v>
      </c>
      <c r="C252" s="41">
        <v>1.77E-2</v>
      </c>
      <c r="D252" s="38" t="s">
        <v>765</v>
      </c>
      <c r="F252" s="38" t="s">
        <v>800</v>
      </c>
      <c r="G252" s="38">
        <v>1.6</v>
      </c>
      <c r="H252" s="41">
        <v>1.77E-2</v>
      </c>
      <c r="I252" t="s">
        <v>762</v>
      </c>
      <c r="J252" s="38" t="s">
        <v>1114</v>
      </c>
    </row>
    <row r="253" spans="1:10" hidden="1" x14ac:dyDescent="0.3">
      <c r="A253" s="38" t="s">
        <v>801</v>
      </c>
      <c r="B253" s="38">
        <v>1.6</v>
      </c>
      <c r="C253" s="41">
        <v>1.77E-2</v>
      </c>
      <c r="D253" s="38" t="s">
        <v>765</v>
      </c>
      <c r="F253" s="38" t="s">
        <v>801</v>
      </c>
      <c r="G253" s="38">
        <v>1.6</v>
      </c>
      <c r="H253" s="41">
        <v>1.77E-2</v>
      </c>
      <c r="I253" t="s">
        <v>762</v>
      </c>
      <c r="J253" s="38" t="s">
        <v>1115</v>
      </c>
    </row>
    <row r="254" spans="1:10" hidden="1" x14ac:dyDescent="0.3">
      <c r="A254" s="38" t="s">
        <v>802</v>
      </c>
      <c r="B254" s="38">
        <v>1.6</v>
      </c>
      <c r="C254" s="41">
        <v>1.77E-2</v>
      </c>
      <c r="D254" s="38" t="s">
        <v>765</v>
      </c>
      <c r="F254" s="38" t="s">
        <v>802</v>
      </c>
      <c r="G254" s="38">
        <v>1.6</v>
      </c>
      <c r="H254" s="41">
        <v>1.77E-2</v>
      </c>
      <c r="I254" t="s">
        <v>762</v>
      </c>
      <c r="J254" s="38" t="s">
        <v>1116</v>
      </c>
    </row>
    <row r="255" spans="1:10" hidden="1" x14ac:dyDescent="0.3">
      <c r="A255" s="38" t="s">
        <v>803</v>
      </c>
      <c r="B255" s="38">
        <v>1.6</v>
      </c>
      <c r="C255" s="41">
        <v>1.77E-2</v>
      </c>
      <c r="D255" s="38" t="s">
        <v>765</v>
      </c>
      <c r="F255" s="38" t="s">
        <v>803</v>
      </c>
      <c r="G255" s="38">
        <v>1.6</v>
      </c>
      <c r="H255" s="41">
        <v>1.77E-2</v>
      </c>
      <c r="I255" t="s">
        <v>762</v>
      </c>
      <c r="J255" s="38" t="s">
        <v>1117</v>
      </c>
    </row>
    <row r="256" spans="1:10" hidden="1" x14ac:dyDescent="0.3">
      <c r="A256" s="38" t="s">
        <v>804</v>
      </c>
      <c r="B256" s="38">
        <v>1.6</v>
      </c>
      <c r="C256" s="41">
        <v>1.77E-2</v>
      </c>
      <c r="D256" s="38" t="s">
        <v>765</v>
      </c>
      <c r="F256" s="38" t="s">
        <v>804</v>
      </c>
      <c r="G256" s="38">
        <v>1.6</v>
      </c>
      <c r="H256" s="41">
        <v>1.77E-2</v>
      </c>
      <c r="I256" t="s">
        <v>762</v>
      </c>
      <c r="J256" s="38" t="s">
        <v>1118</v>
      </c>
    </row>
    <row r="257" spans="1:10" hidden="1" x14ac:dyDescent="0.3">
      <c r="A257" s="38" t="s">
        <v>805</v>
      </c>
      <c r="B257" s="38">
        <v>1.6</v>
      </c>
      <c r="C257" s="41">
        <v>1.77E-2</v>
      </c>
      <c r="D257" s="38" t="s">
        <v>765</v>
      </c>
      <c r="F257" s="38" t="s">
        <v>805</v>
      </c>
      <c r="G257" s="38">
        <v>1.6</v>
      </c>
      <c r="H257" s="41">
        <v>1.77E-2</v>
      </c>
      <c r="I257" t="s">
        <v>762</v>
      </c>
      <c r="J257" s="38" t="s">
        <v>1119</v>
      </c>
    </row>
    <row r="258" spans="1:10" hidden="1" x14ac:dyDescent="0.3">
      <c r="A258" s="38" t="s">
        <v>806</v>
      </c>
      <c r="B258" s="38">
        <v>1.7</v>
      </c>
      <c r="C258" s="41">
        <v>1.77E-2</v>
      </c>
      <c r="D258" s="38" t="s">
        <v>765</v>
      </c>
      <c r="F258" s="38" t="s">
        <v>806</v>
      </c>
      <c r="G258" s="38">
        <v>1.7</v>
      </c>
      <c r="H258" s="41">
        <v>1.77E-2</v>
      </c>
      <c r="I258" t="s">
        <v>762</v>
      </c>
      <c r="J258" s="38" t="s">
        <v>1120</v>
      </c>
    </row>
    <row r="259" spans="1:10" hidden="1" x14ac:dyDescent="0.3">
      <c r="A259" s="38" t="s">
        <v>807</v>
      </c>
      <c r="B259" s="38">
        <v>1.7</v>
      </c>
      <c r="C259" s="41">
        <v>1.77E-2</v>
      </c>
      <c r="D259" s="38" t="s">
        <v>765</v>
      </c>
      <c r="F259" s="38" t="s">
        <v>807</v>
      </c>
      <c r="G259" s="38">
        <v>1.7</v>
      </c>
      <c r="H259" s="41">
        <v>1.77E-2</v>
      </c>
      <c r="I259" t="s">
        <v>762</v>
      </c>
      <c r="J259" s="38" t="s">
        <v>1121</v>
      </c>
    </row>
    <row r="260" spans="1:10" hidden="1" x14ac:dyDescent="0.3">
      <c r="A260" s="38" t="s">
        <v>808</v>
      </c>
      <c r="B260" s="38">
        <v>1.7</v>
      </c>
      <c r="C260" s="41">
        <v>1.77E-2</v>
      </c>
      <c r="D260" s="38" t="s">
        <v>765</v>
      </c>
      <c r="F260" s="38" t="s">
        <v>808</v>
      </c>
      <c r="G260" s="38">
        <v>1.7</v>
      </c>
      <c r="H260" s="41">
        <v>1.77E-2</v>
      </c>
      <c r="I260" t="s">
        <v>762</v>
      </c>
      <c r="J260" s="38" t="s">
        <v>1122</v>
      </c>
    </row>
    <row r="261" spans="1:10" hidden="1" x14ac:dyDescent="0.3">
      <c r="A261" s="38" t="s">
        <v>809</v>
      </c>
      <c r="B261" s="38">
        <v>1.7</v>
      </c>
      <c r="C261" s="41">
        <v>1.77E-2</v>
      </c>
      <c r="D261" s="38" t="s">
        <v>765</v>
      </c>
      <c r="F261" s="38" t="s">
        <v>809</v>
      </c>
      <c r="G261" s="38">
        <v>1.7</v>
      </c>
      <c r="H261" s="41">
        <v>1.77E-2</v>
      </c>
      <c r="I261" t="s">
        <v>762</v>
      </c>
      <c r="J261" s="38" t="s">
        <v>1123</v>
      </c>
    </row>
    <row r="262" spans="1:10" hidden="1" x14ac:dyDescent="0.3">
      <c r="A262" s="38" t="s">
        <v>810</v>
      </c>
      <c r="B262" s="38">
        <v>1.7</v>
      </c>
      <c r="C262" s="41">
        <v>1.77E-2</v>
      </c>
      <c r="D262" s="38" t="s">
        <v>765</v>
      </c>
      <c r="F262" s="38" t="s">
        <v>810</v>
      </c>
      <c r="G262" s="38">
        <v>1.7</v>
      </c>
      <c r="H262" s="41">
        <v>1.77E-2</v>
      </c>
      <c r="I262" t="s">
        <v>762</v>
      </c>
      <c r="J262" s="38" t="s">
        <v>1124</v>
      </c>
    </row>
    <row r="263" spans="1:10" hidden="1" x14ac:dyDescent="0.3">
      <c r="A263" s="38" t="s">
        <v>811</v>
      </c>
      <c r="B263" s="38">
        <v>1.7</v>
      </c>
      <c r="C263" s="41">
        <v>1.77E-2</v>
      </c>
      <c r="D263" s="38" t="s">
        <v>765</v>
      </c>
      <c r="F263" s="38" t="s">
        <v>811</v>
      </c>
      <c r="G263" s="38">
        <v>1.7</v>
      </c>
      <c r="H263" s="41">
        <v>1.77E-2</v>
      </c>
      <c r="I263" t="s">
        <v>762</v>
      </c>
      <c r="J263" s="38" t="s">
        <v>1125</v>
      </c>
    </row>
    <row r="264" spans="1:10" hidden="1" x14ac:dyDescent="0.3">
      <c r="A264" s="38" t="s">
        <v>812</v>
      </c>
      <c r="B264" s="38">
        <v>1.7</v>
      </c>
      <c r="C264" s="41">
        <v>1.77E-2</v>
      </c>
      <c r="D264" s="38" t="s">
        <v>765</v>
      </c>
      <c r="F264" s="38" t="s">
        <v>812</v>
      </c>
      <c r="G264" s="38">
        <v>1.7</v>
      </c>
      <c r="H264" s="41">
        <v>1.77E-2</v>
      </c>
      <c r="I264" t="s">
        <v>762</v>
      </c>
      <c r="J264" s="38" t="s">
        <v>1126</v>
      </c>
    </row>
    <row r="265" spans="1:10" hidden="1" x14ac:dyDescent="0.3">
      <c r="A265" s="38" t="s">
        <v>813</v>
      </c>
      <c r="B265" s="38">
        <v>1.7</v>
      </c>
      <c r="C265" s="41">
        <v>1.77E-2</v>
      </c>
      <c r="D265" s="38" t="s">
        <v>765</v>
      </c>
      <c r="F265" s="38" t="s">
        <v>813</v>
      </c>
      <c r="G265" s="38">
        <v>1.7</v>
      </c>
      <c r="H265" s="41">
        <v>1.77E-2</v>
      </c>
      <c r="I265" t="s">
        <v>762</v>
      </c>
      <c r="J265" s="38" t="s">
        <v>1127</v>
      </c>
    </row>
    <row r="266" spans="1:10" hidden="1" x14ac:dyDescent="0.3">
      <c r="A266" s="38" t="s">
        <v>814</v>
      </c>
      <c r="B266" s="38">
        <v>1.7</v>
      </c>
      <c r="C266" s="41">
        <v>1.77E-2</v>
      </c>
      <c r="D266" s="38" t="s">
        <v>765</v>
      </c>
      <c r="F266" s="38" t="s">
        <v>814</v>
      </c>
      <c r="G266" s="38">
        <v>1.7</v>
      </c>
      <c r="H266" s="41">
        <v>1.77E-2</v>
      </c>
      <c r="I266" t="s">
        <v>762</v>
      </c>
      <c r="J266" s="38" t="s">
        <v>1128</v>
      </c>
    </row>
    <row r="267" spans="1:10" hidden="1" x14ac:dyDescent="0.3">
      <c r="A267" s="38" t="s">
        <v>815</v>
      </c>
      <c r="B267" s="38">
        <v>1.7</v>
      </c>
      <c r="C267" s="41">
        <v>1.77E-2</v>
      </c>
      <c r="D267" s="38" t="s">
        <v>765</v>
      </c>
      <c r="F267" s="38" t="s">
        <v>815</v>
      </c>
      <c r="G267" s="38">
        <v>1.7</v>
      </c>
      <c r="H267" s="41">
        <v>1.77E-2</v>
      </c>
      <c r="I267" t="s">
        <v>762</v>
      </c>
      <c r="J267" s="38" t="s">
        <v>1129</v>
      </c>
    </row>
    <row r="268" spans="1:10" hidden="1" x14ac:dyDescent="0.3">
      <c r="A268" s="38" t="s">
        <v>816</v>
      </c>
      <c r="B268" s="38">
        <v>1.7</v>
      </c>
      <c r="C268" s="41">
        <v>1.77E-2</v>
      </c>
      <c r="D268" s="38" t="s">
        <v>765</v>
      </c>
      <c r="F268" s="38" t="s">
        <v>816</v>
      </c>
      <c r="G268" s="38">
        <v>1.7</v>
      </c>
      <c r="H268" s="41">
        <v>1.77E-2</v>
      </c>
      <c r="I268" t="s">
        <v>762</v>
      </c>
      <c r="J268" s="38" t="s">
        <v>1130</v>
      </c>
    </row>
    <row r="269" spans="1:10" hidden="1" x14ac:dyDescent="0.3">
      <c r="A269" s="38" t="s">
        <v>817</v>
      </c>
      <c r="B269" s="38">
        <v>1.7</v>
      </c>
      <c r="C269" s="41">
        <v>1.77E-2</v>
      </c>
      <c r="D269" s="38" t="s">
        <v>765</v>
      </c>
      <c r="F269" s="38" t="s">
        <v>817</v>
      </c>
      <c r="G269" s="38">
        <v>1.7</v>
      </c>
      <c r="H269" s="41">
        <v>1.77E-2</v>
      </c>
      <c r="I269" t="s">
        <v>762</v>
      </c>
      <c r="J269" s="38" t="s">
        <v>1131</v>
      </c>
    </row>
    <row r="270" spans="1:10" hidden="1" x14ac:dyDescent="0.3">
      <c r="A270" s="38" t="s">
        <v>818</v>
      </c>
      <c r="B270" s="38">
        <v>1.7</v>
      </c>
      <c r="C270" s="41">
        <v>1.77E-2</v>
      </c>
      <c r="D270" s="38" t="s">
        <v>765</v>
      </c>
      <c r="F270" s="38" t="s">
        <v>818</v>
      </c>
      <c r="G270" s="38">
        <v>1.7</v>
      </c>
      <c r="H270" s="41">
        <v>1.77E-2</v>
      </c>
      <c r="I270" t="s">
        <v>762</v>
      </c>
      <c r="J270" s="38" t="s">
        <v>1132</v>
      </c>
    </row>
    <row r="271" spans="1:10" hidden="1" x14ac:dyDescent="0.3">
      <c r="A271" s="38" t="s">
        <v>819</v>
      </c>
      <c r="B271" s="38">
        <v>1.7</v>
      </c>
      <c r="C271" s="41">
        <v>1.77E-2</v>
      </c>
      <c r="D271" s="38" t="s">
        <v>765</v>
      </c>
      <c r="F271" s="38" t="s">
        <v>819</v>
      </c>
      <c r="G271" s="38">
        <v>1.7</v>
      </c>
      <c r="H271" s="41">
        <v>1.77E-2</v>
      </c>
      <c r="I271" t="s">
        <v>762</v>
      </c>
      <c r="J271" s="38" t="s">
        <v>1133</v>
      </c>
    </row>
    <row r="272" spans="1:10" hidden="1" x14ac:dyDescent="0.3">
      <c r="A272" s="38" t="s">
        <v>820</v>
      </c>
      <c r="B272" s="38">
        <v>1.7</v>
      </c>
      <c r="C272" s="41">
        <v>1.77E-2</v>
      </c>
      <c r="D272" s="38" t="s">
        <v>765</v>
      </c>
      <c r="F272" s="38" t="s">
        <v>820</v>
      </c>
      <c r="G272" s="38">
        <v>1.7</v>
      </c>
      <c r="H272" s="41">
        <v>1.77E-2</v>
      </c>
      <c r="I272" t="s">
        <v>762</v>
      </c>
      <c r="J272" s="38" t="s">
        <v>1134</v>
      </c>
    </row>
    <row r="273" spans="1:10" hidden="1" x14ac:dyDescent="0.3">
      <c r="A273" s="38" t="s">
        <v>821</v>
      </c>
      <c r="B273" s="38">
        <v>1.7</v>
      </c>
      <c r="C273" s="41">
        <v>1.77E-2</v>
      </c>
      <c r="D273" s="38" t="s">
        <v>765</v>
      </c>
      <c r="F273" s="38" t="s">
        <v>821</v>
      </c>
      <c r="G273" s="38">
        <v>1.7</v>
      </c>
      <c r="H273" s="41">
        <v>1.77E-2</v>
      </c>
      <c r="I273" t="s">
        <v>762</v>
      </c>
      <c r="J273" s="38" t="s">
        <v>1135</v>
      </c>
    </row>
    <row r="274" spans="1:10" hidden="1" x14ac:dyDescent="0.3">
      <c r="A274" s="38" t="s">
        <v>822</v>
      </c>
      <c r="B274" s="38">
        <v>1.7</v>
      </c>
      <c r="C274" s="41">
        <v>1.77E-2</v>
      </c>
      <c r="D274" s="38" t="s">
        <v>765</v>
      </c>
      <c r="F274" s="38" t="s">
        <v>822</v>
      </c>
      <c r="G274" s="38">
        <v>1.7</v>
      </c>
      <c r="H274" s="41">
        <v>1.77E-2</v>
      </c>
      <c r="I274" t="s">
        <v>762</v>
      </c>
      <c r="J274" s="38" t="s">
        <v>1136</v>
      </c>
    </row>
    <row r="275" spans="1:10" hidden="1" x14ac:dyDescent="0.3">
      <c r="A275" s="38" t="s">
        <v>823</v>
      </c>
      <c r="B275" s="38">
        <v>1.7</v>
      </c>
      <c r="C275" s="41">
        <v>1.77E-2</v>
      </c>
      <c r="D275" s="38" t="s">
        <v>765</v>
      </c>
      <c r="F275" s="38" t="s">
        <v>823</v>
      </c>
      <c r="G275" s="38">
        <v>1.7</v>
      </c>
      <c r="H275" s="41">
        <v>1.77E-2</v>
      </c>
      <c r="I275" t="s">
        <v>762</v>
      </c>
      <c r="J275" s="38" t="s">
        <v>1137</v>
      </c>
    </row>
    <row r="276" spans="1:10" hidden="1" x14ac:dyDescent="0.3">
      <c r="A276" s="38" t="s">
        <v>824</v>
      </c>
      <c r="B276" s="38">
        <v>1.7</v>
      </c>
      <c r="C276" s="41">
        <v>1.77E-2</v>
      </c>
      <c r="D276" s="38" t="s">
        <v>765</v>
      </c>
      <c r="F276" s="38" t="s">
        <v>824</v>
      </c>
      <c r="G276" s="38">
        <v>1.7</v>
      </c>
      <c r="H276" s="41">
        <v>1.77E-2</v>
      </c>
      <c r="I276" t="s">
        <v>762</v>
      </c>
      <c r="J276" s="38" t="s">
        <v>1138</v>
      </c>
    </row>
    <row r="277" spans="1:10" hidden="1" x14ac:dyDescent="0.3">
      <c r="A277" s="38" t="s">
        <v>825</v>
      </c>
      <c r="B277" s="38">
        <v>1.7</v>
      </c>
      <c r="C277" s="41">
        <v>1.77E-2</v>
      </c>
      <c r="D277" s="38" t="s">
        <v>765</v>
      </c>
      <c r="F277" s="38" t="s">
        <v>825</v>
      </c>
      <c r="G277" s="38">
        <v>1.7</v>
      </c>
      <c r="H277" s="41">
        <v>1.77E-2</v>
      </c>
      <c r="I277" t="s">
        <v>762</v>
      </c>
      <c r="J277" s="38" t="s">
        <v>1139</v>
      </c>
    </row>
    <row r="278" spans="1:10" hidden="1" x14ac:dyDescent="0.3">
      <c r="A278" s="38" t="s">
        <v>826</v>
      </c>
      <c r="B278" s="38">
        <v>1.7</v>
      </c>
      <c r="C278" s="41">
        <v>1.77E-2</v>
      </c>
      <c r="D278" s="38" t="s">
        <v>765</v>
      </c>
      <c r="F278" s="38" t="s">
        <v>826</v>
      </c>
      <c r="G278" s="38">
        <v>1.7</v>
      </c>
      <c r="H278" s="41">
        <v>1.77E-2</v>
      </c>
      <c r="I278" t="s">
        <v>762</v>
      </c>
      <c r="J278" s="38" t="s">
        <v>1140</v>
      </c>
    </row>
    <row r="279" spans="1:10" hidden="1" x14ac:dyDescent="0.3">
      <c r="A279" s="38" t="s">
        <v>827</v>
      </c>
      <c r="B279" s="38">
        <v>1.7</v>
      </c>
      <c r="C279" s="41">
        <v>1.77E-2</v>
      </c>
      <c r="D279" s="38" t="s">
        <v>765</v>
      </c>
      <c r="F279" s="38" t="s">
        <v>827</v>
      </c>
      <c r="G279" s="38">
        <v>1.7</v>
      </c>
      <c r="H279" s="41">
        <v>1.77E-2</v>
      </c>
      <c r="I279" t="s">
        <v>762</v>
      </c>
      <c r="J279" s="38" t="s">
        <v>1141</v>
      </c>
    </row>
    <row r="280" spans="1:10" hidden="1" x14ac:dyDescent="0.3">
      <c r="A280" s="38" t="s">
        <v>828</v>
      </c>
      <c r="B280" s="38">
        <v>1.7</v>
      </c>
      <c r="C280" s="41">
        <v>1.77E-2</v>
      </c>
      <c r="D280" s="38" t="s">
        <v>765</v>
      </c>
      <c r="F280" s="38" t="s">
        <v>828</v>
      </c>
      <c r="G280" s="38">
        <v>1.7</v>
      </c>
      <c r="H280" s="41">
        <v>1.77E-2</v>
      </c>
      <c r="I280" t="s">
        <v>762</v>
      </c>
      <c r="J280" s="38" t="s">
        <v>1142</v>
      </c>
    </row>
    <row r="281" spans="1:10" hidden="1" x14ac:dyDescent="0.3">
      <c r="A281" s="38" t="s">
        <v>829</v>
      </c>
      <c r="B281" s="38">
        <v>1.7</v>
      </c>
      <c r="C281" s="41">
        <v>1.77E-2</v>
      </c>
      <c r="D281" s="38" t="s">
        <v>765</v>
      </c>
      <c r="F281" s="38" t="s">
        <v>829</v>
      </c>
      <c r="G281" s="38">
        <v>1.7</v>
      </c>
      <c r="H281" s="41">
        <v>1.77E-2</v>
      </c>
      <c r="I281" t="s">
        <v>762</v>
      </c>
      <c r="J281" s="38" t="s">
        <v>1143</v>
      </c>
    </row>
    <row r="282" spans="1:10" hidden="1" x14ac:dyDescent="0.3">
      <c r="A282" s="38" t="s">
        <v>830</v>
      </c>
      <c r="B282" s="38">
        <v>1.7</v>
      </c>
      <c r="C282" s="41">
        <v>1.77E-2</v>
      </c>
      <c r="D282" s="38" t="s">
        <v>765</v>
      </c>
      <c r="F282" s="38" t="s">
        <v>830</v>
      </c>
      <c r="G282" s="38">
        <v>1.7</v>
      </c>
      <c r="H282" s="41">
        <v>1.77E-2</v>
      </c>
      <c r="I282" t="s">
        <v>762</v>
      </c>
      <c r="J282" s="38" t="s">
        <v>1144</v>
      </c>
    </row>
    <row r="283" spans="1:10" hidden="1" x14ac:dyDescent="0.3">
      <c r="A283" s="38" t="s">
        <v>831</v>
      </c>
      <c r="B283" s="38">
        <v>1.7</v>
      </c>
      <c r="C283" s="41">
        <v>1.77E-2</v>
      </c>
      <c r="D283" s="38" t="s">
        <v>765</v>
      </c>
      <c r="F283" s="38" t="s">
        <v>831</v>
      </c>
      <c r="G283" s="38">
        <v>1.7</v>
      </c>
      <c r="H283" s="41">
        <v>1.77E-2</v>
      </c>
      <c r="I283" t="s">
        <v>762</v>
      </c>
      <c r="J283" s="38" t="s">
        <v>1145</v>
      </c>
    </row>
    <row r="284" spans="1:10" hidden="1" x14ac:dyDescent="0.3">
      <c r="A284" s="38" t="s">
        <v>832</v>
      </c>
      <c r="B284" s="38">
        <v>1.7</v>
      </c>
      <c r="C284" s="41">
        <v>1.77E-2</v>
      </c>
      <c r="D284" s="38" t="s">
        <v>765</v>
      </c>
      <c r="F284" s="38" t="s">
        <v>832</v>
      </c>
      <c r="G284" s="38">
        <v>1.7</v>
      </c>
      <c r="H284" s="41">
        <v>1.77E-2</v>
      </c>
      <c r="I284" t="s">
        <v>762</v>
      </c>
      <c r="J284" s="38" t="s">
        <v>1146</v>
      </c>
    </row>
    <row r="285" spans="1:10" hidden="1" x14ac:dyDescent="0.3">
      <c r="A285" s="38" t="s">
        <v>833</v>
      </c>
      <c r="B285" s="38">
        <v>1.7</v>
      </c>
      <c r="C285" s="41">
        <v>1.77E-2</v>
      </c>
      <c r="D285" s="38" t="s">
        <v>765</v>
      </c>
      <c r="F285" s="38" t="s">
        <v>833</v>
      </c>
      <c r="G285" s="38">
        <v>1.7</v>
      </c>
      <c r="H285" s="41">
        <v>1.77E-2</v>
      </c>
      <c r="I285" t="s">
        <v>762</v>
      </c>
      <c r="J285" s="38" t="s">
        <v>1147</v>
      </c>
    </row>
    <row r="286" spans="1:10" hidden="1" x14ac:dyDescent="0.3">
      <c r="A286" s="38" t="s">
        <v>834</v>
      </c>
      <c r="B286" s="38">
        <v>1.7</v>
      </c>
      <c r="C286" s="41">
        <v>1.77E-2</v>
      </c>
      <c r="D286" s="38" t="s">
        <v>765</v>
      </c>
      <c r="F286" s="38" t="s">
        <v>834</v>
      </c>
      <c r="G286" s="38">
        <v>1.7</v>
      </c>
      <c r="H286" s="41">
        <v>1.77E-2</v>
      </c>
      <c r="I286" t="s">
        <v>762</v>
      </c>
      <c r="J286" s="38" t="s">
        <v>1148</v>
      </c>
    </row>
    <row r="287" spans="1:10" hidden="1" x14ac:dyDescent="0.3">
      <c r="A287" s="38" t="s">
        <v>835</v>
      </c>
      <c r="B287" s="38">
        <v>1.7</v>
      </c>
      <c r="C287" s="41">
        <v>1.77E-2</v>
      </c>
      <c r="D287" s="38" t="s">
        <v>765</v>
      </c>
      <c r="F287" s="38" t="s">
        <v>835</v>
      </c>
      <c r="G287" s="38">
        <v>1.7</v>
      </c>
      <c r="H287" s="41">
        <v>1.77E-2</v>
      </c>
      <c r="I287" t="s">
        <v>762</v>
      </c>
      <c r="J287" s="38" t="s">
        <v>1149</v>
      </c>
    </row>
    <row r="288" spans="1:10" hidden="1" x14ac:dyDescent="0.3">
      <c r="A288" s="38" t="s">
        <v>836</v>
      </c>
      <c r="B288" s="38">
        <v>1.7</v>
      </c>
      <c r="C288" s="41">
        <v>1.77E-2</v>
      </c>
      <c r="D288" s="38" t="s">
        <v>765</v>
      </c>
      <c r="F288" s="38" t="s">
        <v>836</v>
      </c>
      <c r="G288" s="38">
        <v>1.7</v>
      </c>
      <c r="H288" s="41">
        <v>1.77E-2</v>
      </c>
      <c r="I288" t="s">
        <v>762</v>
      </c>
      <c r="J288" s="38" t="s">
        <v>1150</v>
      </c>
    </row>
    <row r="289" spans="1:10" hidden="1" x14ac:dyDescent="0.3">
      <c r="A289" s="38" t="s">
        <v>837</v>
      </c>
      <c r="B289" s="38">
        <v>1.7</v>
      </c>
      <c r="C289" s="41">
        <v>1.77E-2</v>
      </c>
      <c r="D289" s="38" t="s">
        <v>765</v>
      </c>
      <c r="F289" s="38" t="s">
        <v>837</v>
      </c>
      <c r="G289" s="38">
        <v>1.7</v>
      </c>
      <c r="H289" s="41">
        <v>1.77E-2</v>
      </c>
      <c r="I289" t="s">
        <v>762</v>
      </c>
      <c r="J289" s="38" t="s">
        <v>1151</v>
      </c>
    </row>
    <row r="290" spans="1:10" hidden="1" x14ac:dyDescent="0.3">
      <c r="A290" s="38" t="s">
        <v>838</v>
      </c>
      <c r="B290" s="38">
        <v>1.7</v>
      </c>
      <c r="C290" s="41">
        <v>1.77E-2</v>
      </c>
      <c r="D290" s="38" t="s">
        <v>765</v>
      </c>
      <c r="F290" s="38" t="s">
        <v>838</v>
      </c>
      <c r="G290" s="38">
        <v>1.7</v>
      </c>
      <c r="H290" s="41">
        <v>1.77E-2</v>
      </c>
      <c r="I290" t="s">
        <v>762</v>
      </c>
      <c r="J290" s="38" t="s">
        <v>1152</v>
      </c>
    </row>
    <row r="291" spans="1:10" hidden="1" x14ac:dyDescent="0.3">
      <c r="A291" s="38" t="s">
        <v>839</v>
      </c>
      <c r="B291" s="38">
        <v>1.7</v>
      </c>
      <c r="C291" s="41">
        <v>1.77E-2</v>
      </c>
      <c r="D291" s="38" t="s">
        <v>765</v>
      </c>
      <c r="F291" s="38" t="s">
        <v>839</v>
      </c>
      <c r="G291" s="38">
        <v>1.7</v>
      </c>
      <c r="H291" s="41">
        <v>1.77E-2</v>
      </c>
      <c r="I291" t="s">
        <v>762</v>
      </c>
      <c r="J291" s="38" t="s">
        <v>1153</v>
      </c>
    </row>
    <row r="292" spans="1:10" hidden="1" x14ac:dyDescent="0.3">
      <c r="A292" s="38" t="s">
        <v>840</v>
      </c>
      <c r="B292" s="38">
        <v>1.7</v>
      </c>
      <c r="C292" s="41">
        <v>1.77E-2</v>
      </c>
      <c r="D292" s="38" t="s">
        <v>765</v>
      </c>
      <c r="F292" s="38" t="s">
        <v>840</v>
      </c>
      <c r="G292" s="38">
        <v>1.7</v>
      </c>
      <c r="H292" s="41">
        <v>1.77E-2</v>
      </c>
      <c r="I292" t="s">
        <v>762</v>
      </c>
      <c r="J292" s="38" t="s">
        <v>1154</v>
      </c>
    </row>
    <row r="293" spans="1:10" hidden="1" x14ac:dyDescent="0.3">
      <c r="A293" s="38" t="s">
        <v>841</v>
      </c>
      <c r="B293" s="38">
        <v>1.7</v>
      </c>
      <c r="C293" s="41">
        <v>1.77E-2</v>
      </c>
      <c r="D293" s="38" t="s">
        <v>765</v>
      </c>
      <c r="F293" s="38" t="s">
        <v>841</v>
      </c>
      <c r="G293" s="38">
        <v>1.7</v>
      </c>
      <c r="H293" s="41">
        <v>1.77E-2</v>
      </c>
      <c r="I293" t="s">
        <v>762</v>
      </c>
      <c r="J293" s="38" t="s">
        <v>1155</v>
      </c>
    </row>
    <row r="294" spans="1:10" hidden="1" x14ac:dyDescent="0.3">
      <c r="A294" s="38" t="s">
        <v>842</v>
      </c>
      <c r="B294" s="38">
        <v>1.7</v>
      </c>
      <c r="C294" s="41">
        <v>1.77E-2</v>
      </c>
      <c r="D294" s="38" t="s">
        <v>765</v>
      </c>
      <c r="F294" s="38" t="s">
        <v>842</v>
      </c>
      <c r="G294" s="38">
        <v>1.7</v>
      </c>
      <c r="H294" s="41">
        <v>1.77E-2</v>
      </c>
      <c r="I294" t="s">
        <v>762</v>
      </c>
      <c r="J294" s="38" t="s">
        <v>1156</v>
      </c>
    </row>
    <row r="295" spans="1:10" hidden="1" x14ac:dyDescent="0.3">
      <c r="A295" s="38" t="s">
        <v>843</v>
      </c>
      <c r="B295" s="38">
        <v>1.7</v>
      </c>
      <c r="C295" s="41">
        <v>1.77E-2</v>
      </c>
      <c r="D295" s="38" t="s">
        <v>765</v>
      </c>
      <c r="F295" s="38" t="s">
        <v>843</v>
      </c>
      <c r="G295" s="38">
        <v>1.7</v>
      </c>
      <c r="H295" s="41">
        <v>1.77E-2</v>
      </c>
      <c r="I295" t="s">
        <v>762</v>
      </c>
      <c r="J295" s="38" t="s">
        <v>1157</v>
      </c>
    </row>
    <row r="296" spans="1:10" hidden="1" x14ac:dyDescent="0.3">
      <c r="A296" s="38" t="s">
        <v>844</v>
      </c>
      <c r="B296" s="38">
        <v>1.7</v>
      </c>
      <c r="C296" s="41">
        <v>1.77E-2</v>
      </c>
      <c r="D296" s="38" t="s">
        <v>765</v>
      </c>
      <c r="F296" s="38" t="s">
        <v>844</v>
      </c>
      <c r="G296" s="38">
        <v>1.7</v>
      </c>
      <c r="H296" s="41">
        <v>1.77E-2</v>
      </c>
      <c r="I296" t="s">
        <v>762</v>
      </c>
      <c r="J296" s="38" t="s">
        <v>1158</v>
      </c>
    </row>
    <row r="297" spans="1:10" hidden="1" x14ac:dyDescent="0.3">
      <c r="A297" s="38" t="s">
        <v>845</v>
      </c>
      <c r="B297" s="38">
        <v>1.7</v>
      </c>
      <c r="C297" s="41">
        <v>1.77E-2</v>
      </c>
      <c r="D297" s="38" t="s">
        <v>765</v>
      </c>
      <c r="F297" s="38" t="s">
        <v>845</v>
      </c>
      <c r="G297" s="38">
        <v>1.7</v>
      </c>
      <c r="H297" s="41">
        <v>1.77E-2</v>
      </c>
      <c r="I297" t="s">
        <v>762</v>
      </c>
      <c r="J297" s="38" t="s">
        <v>1159</v>
      </c>
    </row>
    <row r="298" spans="1:10" hidden="1" x14ac:dyDescent="0.3">
      <c r="A298" s="38" t="s">
        <v>846</v>
      </c>
      <c r="B298" s="38">
        <v>1.66</v>
      </c>
      <c r="C298" s="41">
        <v>1.77E-2</v>
      </c>
      <c r="D298" s="38" t="s">
        <v>765</v>
      </c>
      <c r="F298" s="38" t="s">
        <v>846</v>
      </c>
      <c r="G298" s="38">
        <v>1.66</v>
      </c>
      <c r="H298" s="41">
        <v>1.77E-2</v>
      </c>
      <c r="I298" t="s">
        <v>762</v>
      </c>
      <c r="J298" s="38" t="s">
        <v>1160</v>
      </c>
    </row>
    <row r="299" spans="1:10" hidden="1" x14ac:dyDescent="0.3">
      <c r="A299" s="38" t="s">
        <v>847</v>
      </c>
      <c r="B299" s="38">
        <v>1.66</v>
      </c>
      <c r="C299" s="41">
        <v>1.77E-2</v>
      </c>
      <c r="D299" s="38" t="s">
        <v>765</v>
      </c>
      <c r="F299" s="38" t="s">
        <v>847</v>
      </c>
      <c r="G299" s="38">
        <v>1.66</v>
      </c>
      <c r="H299" s="41">
        <v>1.77E-2</v>
      </c>
      <c r="I299" t="s">
        <v>762</v>
      </c>
      <c r="J299" s="38" t="s">
        <v>1161</v>
      </c>
    </row>
    <row r="300" spans="1:10" hidden="1" x14ac:dyDescent="0.3">
      <c r="A300" s="38" t="s">
        <v>848</v>
      </c>
      <c r="B300" s="38">
        <v>1.66</v>
      </c>
      <c r="C300" s="41">
        <v>1.77E-2</v>
      </c>
      <c r="D300" s="38" t="s">
        <v>765</v>
      </c>
      <c r="F300" s="38" t="s">
        <v>848</v>
      </c>
      <c r="G300" s="38">
        <v>1.66</v>
      </c>
      <c r="H300" s="41">
        <v>1.77E-2</v>
      </c>
      <c r="I300" t="s">
        <v>762</v>
      </c>
      <c r="J300" s="38" t="s">
        <v>1162</v>
      </c>
    </row>
    <row r="301" spans="1:10" hidden="1" x14ac:dyDescent="0.3">
      <c r="A301" s="38" t="s">
        <v>849</v>
      </c>
      <c r="B301" s="38">
        <v>1.66</v>
      </c>
      <c r="C301" s="41">
        <v>1.77E-2</v>
      </c>
      <c r="D301" s="38" t="s">
        <v>765</v>
      </c>
      <c r="F301" s="38" t="s">
        <v>849</v>
      </c>
      <c r="G301" s="38">
        <v>1.66</v>
      </c>
      <c r="H301" s="41">
        <v>1.77E-2</v>
      </c>
      <c r="I301" t="s">
        <v>762</v>
      </c>
      <c r="J301" s="38" t="s">
        <v>1163</v>
      </c>
    </row>
    <row r="302" spans="1:10" hidden="1" x14ac:dyDescent="0.3">
      <c r="A302" s="38" t="s">
        <v>850</v>
      </c>
      <c r="B302" s="38">
        <v>1.66</v>
      </c>
      <c r="C302" s="41">
        <v>1.77E-2</v>
      </c>
      <c r="D302" s="38" t="s">
        <v>765</v>
      </c>
      <c r="F302" s="38" t="s">
        <v>850</v>
      </c>
      <c r="G302" s="38">
        <v>1.66</v>
      </c>
      <c r="H302" s="41">
        <v>1.77E-2</v>
      </c>
      <c r="I302" t="s">
        <v>762</v>
      </c>
      <c r="J302" s="38" t="s">
        <v>1164</v>
      </c>
    </row>
    <row r="303" spans="1:10" hidden="1" x14ac:dyDescent="0.3">
      <c r="A303" s="38" t="s">
        <v>851</v>
      </c>
      <c r="B303" s="38">
        <v>1.66</v>
      </c>
      <c r="C303" s="41">
        <v>1.77E-2</v>
      </c>
      <c r="D303" s="38" t="s">
        <v>765</v>
      </c>
      <c r="F303" s="38" t="s">
        <v>851</v>
      </c>
      <c r="G303" s="38">
        <v>1.66</v>
      </c>
      <c r="H303" s="41">
        <v>1.77E-2</v>
      </c>
      <c r="I303" t="s">
        <v>762</v>
      </c>
      <c r="J303" s="38" t="s">
        <v>1165</v>
      </c>
    </row>
    <row r="304" spans="1:10" hidden="1" x14ac:dyDescent="0.3">
      <c r="A304" s="38" t="s">
        <v>852</v>
      </c>
      <c r="B304" s="38">
        <v>1.66</v>
      </c>
      <c r="C304" s="41">
        <v>1.77E-2</v>
      </c>
      <c r="D304" s="38" t="s">
        <v>765</v>
      </c>
      <c r="F304" s="38" t="s">
        <v>852</v>
      </c>
      <c r="G304" s="38">
        <v>1.66</v>
      </c>
      <c r="H304" s="41">
        <v>1.77E-2</v>
      </c>
      <c r="I304" t="s">
        <v>762</v>
      </c>
      <c r="J304" s="38" t="s">
        <v>1166</v>
      </c>
    </row>
    <row r="305" spans="1:10" hidden="1" x14ac:dyDescent="0.3">
      <c r="A305" s="38" t="s">
        <v>853</v>
      </c>
      <c r="B305" s="38">
        <v>1.66</v>
      </c>
      <c r="C305" s="41">
        <v>1.77E-2</v>
      </c>
      <c r="D305" s="38" t="s">
        <v>765</v>
      </c>
      <c r="F305" s="38" t="s">
        <v>853</v>
      </c>
      <c r="G305" s="38">
        <v>1.66</v>
      </c>
      <c r="H305" s="41">
        <v>1.77E-2</v>
      </c>
      <c r="I305" t="s">
        <v>762</v>
      </c>
      <c r="J305" s="38" t="s">
        <v>1167</v>
      </c>
    </row>
    <row r="306" spans="1:10" hidden="1" x14ac:dyDescent="0.3">
      <c r="A306" s="38" t="s">
        <v>854</v>
      </c>
      <c r="B306" s="38">
        <v>1.66</v>
      </c>
      <c r="C306" s="41">
        <v>1.77E-2</v>
      </c>
      <c r="D306" s="38" t="s">
        <v>765</v>
      </c>
      <c r="F306" s="38" t="s">
        <v>854</v>
      </c>
      <c r="G306" s="38">
        <v>1.66</v>
      </c>
      <c r="H306" s="41">
        <v>1.77E-2</v>
      </c>
      <c r="I306" t="s">
        <v>762</v>
      </c>
      <c r="J306" s="38" t="s">
        <v>1168</v>
      </c>
    </row>
    <row r="307" spans="1:10" hidden="1" x14ac:dyDescent="0.3">
      <c r="A307" s="38" t="s">
        <v>855</v>
      </c>
      <c r="B307" s="38">
        <v>1.66</v>
      </c>
      <c r="C307" s="41">
        <v>1.77E-2</v>
      </c>
      <c r="D307" s="38" t="s">
        <v>765</v>
      </c>
      <c r="F307" s="38" t="s">
        <v>855</v>
      </c>
      <c r="G307" s="38">
        <v>1.66</v>
      </c>
      <c r="H307" s="41">
        <v>1.77E-2</v>
      </c>
      <c r="I307" t="s">
        <v>762</v>
      </c>
      <c r="J307" s="38" t="s">
        <v>1169</v>
      </c>
    </row>
    <row r="308" spans="1:10" hidden="1" x14ac:dyDescent="0.3">
      <c r="A308" s="38" t="s">
        <v>856</v>
      </c>
      <c r="B308" s="38">
        <v>1.66</v>
      </c>
      <c r="C308" s="41">
        <v>1.77E-2</v>
      </c>
      <c r="D308" s="38" t="s">
        <v>765</v>
      </c>
      <c r="F308" s="38" t="s">
        <v>856</v>
      </c>
      <c r="G308" s="38">
        <v>1.66</v>
      </c>
      <c r="H308" s="41">
        <v>1.77E-2</v>
      </c>
      <c r="I308" t="s">
        <v>762</v>
      </c>
      <c r="J308" s="38" t="s">
        <v>1170</v>
      </c>
    </row>
    <row r="309" spans="1:10" hidden="1" x14ac:dyDescent="0.3">
      <c r="A309" s="38" t="s">
        <v>857</v>
      </c>
      <c r="B309" s="38">
        <v>1.66</v>
      </c>
      <c r="C309" s="41">
        <v>1.77E-2</v>
      </c>
      <c r="D309" s="38" t="s">
        <v>765</v>
      </c>
      <c r="F309" s="38" t="s">
        <v>857</v>
      </c>
      <c r="G309" s="38">
        <v>1.66</v>
      </c>
      <c r="H309" s="41">
        <v>1.77E-2</v>
      </c>
      <c r="I309" t="s">
        <v>762</v>
      </c>
      <c r="J309" s="38" t="s">
        <v>1171</v>
      </c>
    </row>
    <row r="310" spans="1:10" hidden="1" x14ac:dyDescent="0.3">
      <c r="A310" s="38" t="s">
        <v>858</v>
      </c>
      <c r="B310" s="38">
        <v>1.77</v>
      </c>
      <c r="C310" s="41">
        <v>1.77E-2</v>
      </c>
      <c r="D310" s="38" t="s">
        <v>765</v>
      </c>
      <c r="F310" s="38" t="s">
        <v>858</v>
      </c>
      <c r="G310" s="38">
        <v>1.77</v>
      </c>
      <c r="H310" s="41">
        <v>1.77E-2</v>
      </c>
      <c r="I310" t="s">
        <v>762</v>
      </c>
      <c r="J310" s="38" t="s">
        <v>1172</v>
      </c>
    </row>
    <row r="311" spans="1:10" hidden="1" x14ac:dyDescent="0.3">
      <c r="A311" s="38" t="s">
        <v>859</v>
      </c>
      <c r="B311" s="38">
        <v>1.77</v>
      </c>
      <c r="C311" s="41">
        <v>1.77E-2</v>
      </c>
      <c r="D311" s="38" t="s">
        <v>765</v>
      </c>
      <c r="F311" s="38" t="s">
        <v>859</v>
      </c>
      <c r="G311" s="38">
        <v>1.77</v>
      </c>
      <c r="H311" s="41">
        <v>1.77E-2</v>
      </c>
      <c r="I311" t="s">
        <v>762</v>
      </c>
      <c r="J311" s="38" t="s">
        <v>1173</v>
      </c>
    </row>
    <row r="312" spans="1:10" hidden="1" x14ac:dyDescent="0.3">
      <c r="A312" s="38" t="s">
        <v>860</v>
      </c>
      <c r="B312" s="38">
        <v>1.77</v>
      </c>
      <c r="C312" s="41">
        <v>1.77E-2</v>
      </c>
      <c r="D312" s="38" t="s">
        <v>765</v>
      </c>
      <c r="F312" s="38" t="s">
        <v>860</v>
      </c>
      <c r="G312" s="38">
        <v>1.77</v>
      </c>
      <c r="H312" s="41">
        <v>1.77E-2</v>
      </c>
      <c r="I312" t="s">
        <v>762</v>
      </c>
      <c r="J312" s="38" t="s">
        <v>1174</v>
      </c>
    </row>
    <row r="313" spans="1:10" hidden="1" x14ac:dyDescent="0.3">
      <c r="A313" s="38" t="s">
        <v>861</v>
      </c>
      <c r="B313" s="38">
        <v>1.77</v>
      </c>
      <c r="C313" s="41">
        <v>1.77E-2</v>
      </c>
      <c r="D313" s="38" t="s">
        <v>765</v>
      </c>
      <c r="F313" s="38" t="s">
        <v>861</v>
      </c>
      <c r="G313" s="38">
        <v>1.77</v>
      </c>
      <c r="H313" s="41">
        <v>1.77E-2</v>
      </c>
      <c r="I313" t="s">
        <v>762</v>
      </c>
      <c r="J313" s="38" t="s">
        <v>1175</v>
      </c>
    </row>
    <row r="314" spans="1:10" hidden="1" x14ac:dyDescent="0.3">
      <c r="A314" s="38" t="s">
        <v>862</v>
      </c>
      <c r="B314" s="38">
        <v>1.77</v>
      </c>
      <c r="C314" s="41">
        <v>1.77E-2</v>
      </c>
      <c r="D314" s="38" t="s">
        <v>765</v>
      </c>
      <c r="F314" s="38" t="s">
        <v>862</v>
      </c>
      <c r="G314" s="38">
        <v>1.77</v>
      </c>
      <c r="H314" s="41">
        <v>1.77E-2</v>
      </c>
      <c r="I314" t="s">
        <v>762</v>
      </c>
      <c r="J314" s="38" t="s">
        <v>1176</v>
      </c>
    </row>
    <row r="315" spans="1:10" hidden="1" x14ac:dyDescent="0.3">
      <c r="A315" s="38" t="s">
        <v>863</v>
      </c>
      <c r="B315" s="38">
        <v>1.77</v>
      </c>
      <c r="C315" s="41">
        <v>1.77E-2</v>
      </c>
      <c r="D315" s="38" t="s">
        <v>765</v>
      </c>
      <c r="F315" s="38" t="s">
        <v>863</v>
      </c>
      <c r="G315" s="38">
        <v>1.77</v>
      </c>
      <c r="H315" s="41">
        <v>1.77E-2</v>
      </c>
      <c r="I315" t="s">
        <v>762</v>
      </c>
      <c r="J315" s="38" t="s">
        <v>1177</v>
      </c>
    </row>
    <row r="316" spans="1:10" hidden="1" x14ac:dyDescent="0.3">
      <c r="A316" s="38" t="s">
        <v>864</v>
      </c>
      <c r="B316" s="38">
        <v>1.77</v>
      </c>
      <c r="C316" s="41">
        <v>1.77E-2</v>
      </c>
      <c r="D316" s="38" t="s">
        <v>765</v>
      </c>
      <c r="F316" s="38" t="s">
        <v>864</v>
      </c>
      <c r="G316" s="38">
        <v>1.77</v>
      </c>
      <c r="H316" s="41">
        <v>1.77E-2</v>
      </c>
      <c r="I316" t="s">
        <v>762</v>
      </c>
      <c r="J316" s="38" t="s">
        <v>1178</v>
      </c>
    </row>
    <row r="317" spans="1:10" hidden="1" x14ac:dyDescent="0.3">
      <c r="A317" s="38" t="s">
        <v>865</v>
      </c>
      <c r="B317" s="38">
        <v>1.77</v>
      </c>
      <c r="C317" s="41">
        <v>1.77E-2</v>
      </c>
      <c r="D317" s="38" t="s">
        <v>765</v>
      </c>
      <c r="F317" s="38" t="s">
        <v>865</v>
      </c>
      <c r="G317" s="38">
        <v>1.77</v>
      </c>
      <c r="H317" s="41">
        <v>1.77E-2</v>
      </c>
      <c r="I317" t="s">
        <v>762</v>
      </c>
      <c r="J317" s="38" t="s">
        <v>1179</v>
      </c>
    </row>
    <row r="318" spans="1:10" hidden="1" x14ac:dyDescent="0.3">
      <c r="A318" s="38" t="s">
        <v>866</v>
      </c>
      <c r="B318" s="38">
        <v>1.77</v>
      </c>
      <c r="C318" s="41">
        <v>1.77E-2</v>
      </c>
      <c r="D318" s="38" t="s">
        <v>765</v>
      </c>
      <c r="F318" s="38" t="s">
        <v>866</v>
      </c>
      <c r="G318" s="38">
        <v>1.77</v>
      </c>
      <c r="H318" s="41">
        <v>1.77E-2</v>
      </c>
      <c r="I318" t="s">
        <v>762</v>
      </c>
      <c r="J318" s="38" t="s">
        <v>1180</v>
      </c>
    </row>
    <row r="319" spans="1:10" hidden="1" x14ac:dyDescent="0.3">
      <c r="A319" s="38" t="s">
        <v>867</v>
      </c>
      <c r="B319" s="38">
        <v>1.77</v>
      </c>
      <c r="C319" s="41">
        <v>1.77E-2</v>
      </c>
      <c r="D319" s="38" t="s">
        <v>765</v>
      </c>
      <c r="F319" s="38" t="s">
        <v>867</v>
      </c>
      <c r="G319" s="38">
        <v>1.77</v>
      </c>
      <c r="H319" s="41">
        <v>1.77E-2</v>
      </c>
      <c r="I319" t="s">
        <v>762</v>
      </c>
      <c r="J319" s="38" t="s">
        <v>1181</v>
      </c>
    </row>
    <row r="320" spans="1:10" hidden="1" x14ac:dyDescent="0.3">
      <c r="A320" s="38" t="s">
        <v>868</v>
      </c>
      <c r="B320" s="38">
        <v>1.77</v>
      </c>
      <c r="C320" s="41">
        <v>1.77E-2</v>
      </c>
      <c r="D320" s="38" t="s">
        <v>765</v>
      </c>
      <c r="F320" s="38" t="s">
        <v>868</v>
      </c>
      <c r="G320" s="38">
        <v>1.77</v>
      </c>
      <c r="H320" s="41">
        <v>1.77E-2</v>
      </c>
      <c r="I320" t="s">
        <v>762</v>
      </c>
      <c r="J320" s="38" t="s">
        <v>1182</v>
      </c>
    </row>
    <row r="321" spans="1:10" hidden="1" x14ac:dyDescent="0.3">
      <c r="A321" s="38" t="s">
        <v>869</v>
      </c>
      <c r="B321" s="38">
        <v>1.77</v>
      </c>
      <c r="C321" s="41">
        <v>1.77E-2</v>
      </c>
      <c r="D321" s="38" t="s">
        <v>765</v>
      </c>
      <c r="F321" s="38" t="s">
        <v>869</v>
      </c>
      <c r="G321" s="38">
        <v>1.77</v>
      </c>
      <c r="H321" s="41">
        <v>1.77E-2</v>
      </c>
      <c r="I321" t="s">
        <v>762</v>
      </c>
      <c r="J321" s="38" t="s">
        <v>1183</v>
      </c>
    </row>
    <row r="322" spans="1:10" hidden="1" x14ac:dyDescent="0.3">
      <c r="A322" s="38" t="s">
        <v>870</v>
      </c>
      <c r="B322" s="38">
        <v>3.1669999999999998</v>
      </c>
      <c r="C322" s="41">
        <v>1.67E-2</v>
      </c>
      <c r="D322" s="38" t="s">
        <v>765</v>
      </c>
      <c r="F322" s="38" t="s">
        <v>870</v>
      </c>
      <c r="G322" s="38">
        <v>3.1669999999999998</v>
      </c>
      <c r="H322" s="41">
        <v>1.67E-2</v>
      </c>
      <c r="I322" t="s">
        <v>762</v>
      </c>
      <c r="J322" s="38" t="s">
        <v>1184</v>
      </c>
    </row>
    <row r="323" spans="1:10" hidden="1" x14ac:dyDescent="0.3">
      <c r="A323" s="38" t="s">
        <v>871</v>
      </c>
      <c r="B323" s="38">
        <v>3.15</v>
      </c>
      <c r="C323" s="41">
        <v>1.67E-2</v>
      </c>
      <c r="D323" s="38" t="s">
        <v>765</v>
      </c>
      <c r="F323" s="38" t="s">
        <v>871</v>
      </c>
      <c r="G323" s="38">
        <v>3.15</v>
      </c>
      <c r="H323" s="41">
        <v>1.67E-2</v>
      </c>
      <c r="I323" t="s">
        <v>762</v>
      </c>
      <c r="J323" s="38" t="s">
        <v>1185</v>
      </c>
    </row>
    <row r="324" spans="1:10" hidden="1" x14ac:dyDescent="0.3">
      <c r="A324" s="38" t="s">
        <v>872</v>
      </c>
      <c r="B324" s="38">
        <v>3.1669999999999998</v>
      </c>
      <c r="C324" s="41">
        <v>1.67E-2</v>
      </c>
      <c r="D324" s="38" t="s">
        <v>765</v>
      </c>
      <c r="F324" s="38" t="s">
        <v>872</v>
      </c>
      <c r="G324" s="38">
        <v>3.1669999999999998</v>
      </c>
      <c r="H324" s="41">
        <v>1.67E-2</v>
      </c>
      <c r="I324" t="s">
        <v>762</v>
      </c>
      <c r="J324" s="38" t="s">
        <v>1186</v>
      </c>
    </row>
    <row r="325" spans="1:10" hidden="1" x14ac:dyDescent="0.3">
      <c r="A325" s="38" t="s">
        <v>873</v>
      </c>
      <c r="B325" s="38">
        <v>3.15</v>
      </c>
      <c r="C325" s="41">
        <v>1.67E-2</v>
      </c>
      <c r="D325" s="38" t="s">
        <v>765</v>
      </c>
      <c r="F325" s="38" t="s">
        <v>873</v>
      </c>
      <c r="G325" s="38">
        <v>3.15</v>
      </c>
      <c r="H325" s="41">
        <v>1.67E-2</v>
      </c>
      <c r="I325" t="s">
        <v>762</v>
      </c>
      <c r="J325" s="38" t="s">
        <v>1187</v>
      </c>
    </row>
    <row r="326" spans="1:10" hidden="1" x14ac:dyDescent="0.3">
      <c r="A326" s="38" t="s">
        <v>874</v>
      </c>
      <c r="B326" s="38">
        <v>2.1230000000000002</v>
      </c>
      <c r="C326" s="41">
        <v>1.9980000000000001E-2</v>
      </c>
      <c r="D326" s="38" t="s">
        <v>765</v>
      </c>
      <c r="F326" s="38" t="s">
        <v>874</v>
      </c>
      <c r="G326" s="38">
        <v>2.1230000000000002</v>
      </c>
      <c r="H326" s="41">
        <v>1.9980000000000001E-2</v>
      </c>
      <c r="I326" t="s">
        <v>762</v>
      </c>
      <c r="J326" s="38" t="s">
        <v>1188</v>
      </c>
    </row>
    <row r="327" spans="1:10" hidden="1" x14ac:dyDescent="0.3">
      <c r="A327" s="38" t="s">
        <v>875</v>
      </c>
      <c r="B327" s="38">
        <v>2.1230000000000002</v>
      </c>
      <c r="C327" s="41">
        <v>1.9980000000000001E-2</v>
      </c>
      <c r="D327" s="38" t="s">
        <v>765</v>
      </c>
      <c r="F327" s="38" t="s">
        <v>875</v>
      </c>
      <c r="G327" s="38">
        <v>2.1230000000000002</v>
      </c>
      <c r="H327" s="41">
        <v>1.9980000000000001E-2</v>
      </c>
      <c r="I327" t="s">
        <v>762</v>
      </c>
      <c r="J327" s="38" t="s">
        <v>1189</v>
      </c>
    </row>
    <row r="328" spans="1:10" hidden="1" x14ac:dyDescent="0.3">
      <c r="A328" s="38" t="s">
        <v>876</v>
      </c>
      <c r="B328" s="38">
        <v>2.1230000000000002</v>
      </c>
      <c r="C328" s="41">
        <v>1.9980000000000001E-2</v>
      </c>
      <c r="D328" s="38" t="s">
        <v>765</v>
      </c>
      <c r="F328" s="38" t="s">
        <v>876</v>
      </c>
      <c r="G328" s="38">
        <v>2.1230000000000002</v>
      </c>
      <c r="H328" s="41">
        <v>1.9980000000000001E-2</v>
      </c>
      <c r="I328" t="s">
        <v>762</v>
      </c>
      <c r="J328" s="38" t="s">
        <v>1190</v>
      </c>
    </row>
    <row r="329" spans="1:10" hidden="1" x14ac:dyDescent="0.3">
      <c r="A329" s="38" t="s">
        <v>877</v>
      </c>
      <c r="B329" s="38">
        <v>2.1230000000000002</v>
      </c>
      <c r="C329" s="41">
        <v>1.9980000000000001E-2</v>
      </c>
      <c r="D329" s="38" t="s">
        <v>765</v>
      </c>
      <c r="F329" s="38" t="s">
        <v>877</v>
      </c>
      <c r="G329" s="38">
        <v>2.1230000000000002</v>
      </c>
      <c r="H329" s="41">
        <v>1.9980000000000001E-2</v>
      </c>
      <c r="I329" t="s">
        <v>762</v>
      </c>
      <c r="J329" s="38" t="s">
        <v>1190</v>
      </c>
    </row>
    <row r="330" spans="1:10" hidden="1" x14ac:dyDescent="0.3">
      <c r="A330" s="38" t="s">
        <v>878</v>
      </c>
      <c r="B330" s="38">
        <v>2.1230000000000002</v>
      </c>
      <c r="C330" s="41">
        <v>1.9980000000000001E-2</v>
      </c>
      <c r="D330" s="38" t="s">
        <v>765</v>
      </c>
      <c r="F330" s="38" t="s">
        <v>878</v>
      </c>
      <c r="G330" s="38">
        <v>2.1230000000000002</v>
      </c>
      <c r="H330" s="41">
        <v>1.9980000000000001E-2</v>
      </c>
      <c r="I330" t="s">
        <v>762</v>
      </c>
      <c r="J330" s="38" t="s">
        <v>1191</v>
      </c>
    </row>
    <row r="331" spans="1:10" hidden="1" x14ac:dyDescent="0.3">
      <c r="A331" s="38" t="s">
        <v>879</v>
      </c>
      <c r="B331" s="38">
        <v>2.1230000000000002</v>
      </c>
      <c r="C331" s="41">
        <v>1.9980000000000001E-2</v>
      </c>
      <c r="D331" s="38" t="s">
        <v>765</v>
      </c>
      <c r="F331" s="38" t="s">
        <v>879</v>
      </c>
      <c r="G331" s="38">
        <v>2.1230000000000002</v>
      </c>
      <c r="H331" s="41">
        <v>1.9980000000000001E-2</v>
      </c>
      <c r="I331" t="s">
        <v>762</v>
      </c>
      <c r="J331" s="38" t="s">
        <v>1192</v>
      </c>
    </row>
    <row r="332" spans="1:10" hidden="1" x14ac:dyDescent="0.3">
      <c r="A332" t="s">
        <v>1222</v>
      </c>
      <c r="B332" s="38">
        <v>333</v>
      </c>
      <c r="C332" s="41">
        <v>0.03</v>
      </c>
      <c r="D332" s="38" t="s">
        <v>765</v>
      </c>
      <c r="F332" t="s">
        <v>1222</v>
      </c>
      <c r="G332" s="38">
        <v>333</v>
      </c>
      <c r="H332" s="41">
        <v>0.03</v>
      </c>
      <c r="I332" t="s">
        <v>762</v>
      </c>
      <c r="J332" t="s">
        <v>1247</v>
      </c>
    </row>
  </sheetData>
  <autoFilter ref="A2:O332" xr:uid="{7B32EF2C-5CA5-47C2-B30A-A11517FE9F6F}">
    <filterColumn colId="0">
      <filters>
        <filter val="ACAVIC3"/>
        <filter val="AOCVIC3"/>
        <filter val="APCVIC3"/>
        <filter val="APUVIC3"/>
        <filter val="ARFVIC3"/>
      </filters>
    </filterColumn>
  </autoFilter>
  <mergeCells count="2">
    <mergeCell ref="F1:I1"/>
    <mergeCell ref="A1:D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AW25"/>
  <sheetViews>
    <sheetView zoomScale="70" zoomScaleNormal="70" workbookViewId="0">
      <selection activeCell="AO2" sqref="AO2"/>
    </sheetView>
  </sheetViews>
  <sheetFormatPr defaultRowHeight="14.4" x14ac:dyDescent="0.3"/>
  <cols>
    <col min="1" max="1" width="14" bestFit="1" customWidth="1"/>
    <col min="2" max="2" width="11.21875" bestFit="1" customWidth="1"/>
    <col min="3" max="3" width="22.5546875" bestFit="1" customWidth="1"/>
    <col min="4" max="4" width="11" bestFit="1" customWidth="1"/>
    <col min="5" max="5" width="13.44140625" bestFit="1" customWidth="1"/>
    <col min="6" max="6" width="20.44140625" bestFit="1" customWidth="1"/>
    <col min="7" max="7" width="12.88671875" bestFit="1" customWidth="1"/>
    <col min="8" max="8" width="10" bestFit="1" customWidth="1"/>
    <col min="9" max="9" width="15" bestFit="1" customWidth="1"/>
    <col min="10" max="10" width="0.88671875" customWidth="1"/>
    <col min="11" max="11" width="15" customWidth="1"/>
    <col min="12" max="12" width="0.88671875" customWidth="1"/>
    <col min="13" max="13" width="11.88671875" customWidth="1"/>
    <col min="14" max="14" width="11.21875" customWidth="1"/>
    <col min="15" max="15" width="14.21875" customWidth="1"/>
    <col min="16" max="16" width="10.21875" bestFit="1" customWidth="1"/>
    <col min="17" max="17" width="14.109375" bestFit="1" customWidth="1"/>
    <col min="18" max="18" width="0.88671875" customWidth="1"/>
    <col min="19" max="19" width="12.33203125" bestFit="1" customWidth="1"/>
    <col min="24" max="24" width="0.88671875" customWidth="1"/>
    <col min="25" max="25" width="12.33203125" bestFit="1" customWidth="1"/>
    <col min="30" max="30" width="0.88671875" customWidth="1"/>
    <col min="36" max="36" width="0.88671875" customWidth="1"/>
    <col min="37" max="37" width="13.88671875" bestFit="1" customWidth="1"/>
    <col min="42" max="42" width="0.88671875" customWidth="1"/>
    <col min="43" max="43" width="10.21875" bestFit="1" customWidth="1"/>
    <col min="44" max="44" width="12" customWidth="1"/>
    <col min="45" max="45" width="0.88671875" customWidth="1"/>
    <col min="46" max="46" width="16" bestFit="1" customWidth="1"/>
    <col min="49" max="49" width="0.88671875" customWidth="1"/>
  </cols>
  <sheetData>
    <row r="1" spans="1:49" x14ac:dyDescent="0.3">
      <c r="A1" s="9" t="s">
        <v>0</v>
      </c>
      <c r="B1" s="9" t="s">
        <v>0</v>
      </c>
      <c r="C1" s="9"/>
      <c r="D1" s="9"/>
      <c r="E1" s="9"/>
      <c r="F1" s="9"/>
      <c r="G1" s="9"/>
      <c r="H1" s="9"/>
      <c r="I1" s="9"/>
      <c r="J1" s="34"/>
      <c r="K1" s="9"/>
      <c r="L1" s="34"/>
      <c r="M1" s="9"/>
      <c r="N1" s="9"/>
      <c r="O1" s="9"/>
      <c r="P1" s="9"/>
      <c r="Q1" s="9"/>
      <c r="R1" s="34"/>
      <c r="S1" s="9"/>
      <c r="T1" s="9"/>
      <c r="U1" s="9"/>
      <c r="V1" s="9"/>
      <c r="W1" s="9"/>
      <c r="X1" s="34"/>
      <c r="Y1" s="9"/>
      <c r="Z1" s="9"/>
      <c r="AA1" s="9"/>
      <c r="AB1" s="9"/>
      <c r="AC1" s="9"/>
      <c r="AD1" s="34"/>
      <c r="AE1" s="9"/>
      <c r="AF1" s="9"/>
      <c r="AG1" s="9"/>
      <c r="AH1" s="9"/>
      <c r="AI1" s="9"/>
      <c r="AJ1" s="34"/>
      <c r="AK1" s="9"/>
      <c r="AL1" s="9"/>
      <c r="AM1" s="9"/>
      <c r="AN1" s="9"/>
      <c r="AO1" s="9"/>
      <c r="AP1" s="34"/>
      <c r="AQ1" s="70" t="s">
        <v>1226</v>
      </c>
      <c r="AR1" s="71"/>
      <c r="AS1" s="34"/>
      <c r="AT1" s="9"/>
      <c r="AU1" s="9"/>
      <c r="AV1" s="9"/>
      <c r="AW1" s="34"/>
    </row>
    <row r="2" spans="1:49" ht="28.8" x14ac:dyDescent="0.3">
      <c r="A2" s="10" t="s">
        <v>1</v>
      </c>
      <c r="B2" s="10" t="s">
        <v>2</v>
      </c>
      <c r="C2" s="10" t="s">
        <v>105</v>
      </c>
      <c r="D2" s="10" t="s">
        <v>109</v>
      </c>
      <c r="E2" s="10" t="s">
        <v>106</v>
      </c>
      <c r="F2" s="10" t="s">
        <v>107</v>
      </c>
      <c r="G2" s="10" t="s">
        <v>108</v>
      </c>
      <c r="H2" s="10" t="s">
        <v>99</v>
      </c>
      <c r="I2" s="10" t="s">
        <v>110</v>
      </c>
      <c r="J2" s="35"/>
      <c r="K2" s="10" t="s">
        <v>752</v>
      </c>
      <c r="L2" s="35"/>
      <c r="M2" s="10" t="s">
        <v>135</v>
      </c>
      <c r="N2" s="10" t="s">
        <v>661</v>
      </c>
      <c r="O2" s="10" t="s">
        <v>662</v>
      </c>
      <c r="P2" s="10" t="s">
        <v>753</v>
      </c>
      <c r="Q2" s="10" t="s">
        <v>754</v>
      </c>
      <c r="R2" s="35"/>
      <c r="S2" s="10" t="s">
        <v>1193</v>
      </c>
      <c r="T2" s="10" t="s">
        <v>661</v>
      </c>
      <c r="U2" s="10" t="s">
        <v>662</v>
      </c>
      <c r="V2" s="10" t="s">
        <v>753</v>
      </c>
      <c r="W2" s="10" t="s">
        <v>754</v>
      </c>
      <c r="X2" s="35"/>
      <c r="Y2" s="10" t="s">
        <v>1223</v>
      </c>
      <c r="Z2" s="10" t="s">
        <v>661</v>
      </c>
      <c r="AA2" s="10" t="s">
        <v>662</v>
      </c>
      <c r="AB2" s="10" t="s">
        <v>753</v>
      </c>
      <c r="AC2" s="10" t="s">
        <v>754</v>
      </c>
      <c r="AD2" s="35"/>
      <c r="AE2" s="10" t="s">
        <v>1224</v>
      </c>
      <c r="AF2" s="10" t="s">
        <v>661</v>
      </c>
      <c r="AG2" s="10" t="s">
        <v>662</v>
      </c>
      <c r="AH2" s="10" t="s">
        <v>753</v>
      </c>
      <c r="AI2" s="10" t="s">
        <v>754</v>
      </c>
      <c r="AJ2" s="35"/>
      <c r="AK2" s="10" t="s">
        <v>1227</v>
      </c>
      <c r="AL2" s="10" t="s">
        <v>661</v>
      </c>
      <c r="AM2" s="10" t="s">
        <v>662</v>
      </c>
      <c r="AN2" s="10" t="s">
        <v>753</v>
      </c>
      <c r="AO2" s="10" t="s">
        <v>754</v>
      </c>
      <c r="AP2" s="35"/>
      <c r="AQ2" s="49" t="s">
        <v>133</v>
      </c>
      <c r="AR2" s="50" t="s">
        <v>1225</v>
      </c>
      <c r="AS2" s="35"/>
      <c r="AT2" s="10"/>
      <c r="AU2" s="10"/>
      <c r="AV2" s="10"/>
      <c r="AW2" s="35"/>
    </row>
    <row r="3" spans="1:49" x14ac:dyDescent="0.3">
      <c r="A3" s="10"/>
      <c r="B3" s="10"/>
      <c r="C3" s="10"/>
      <c r="D3" s="10"/>
      <c r="E3" s="10"/>
      <c r="F3" s="10"/>
      <c r="G3" s="10"/>
      <c r="H3" s="10"/>
      <c r="I3" s="10"/>
      <c r="J3" s="35"/>
      <c r="K3" s="10">
        <v>119906.55599999997</v>
      </c>
      <c r="L3" s="35"/>
      <c r="M3" s="10">
        <v>23</v>
      </c>
      <c r="N3" s="10" t="s">
        <v>1229</v>
      </c>
      <c r="O3" s="10"/>
      <c r="P3" s="10"/>
      <c r="Q3" s="10"/>
      <c r="R3" s="35"/>
      <c r="S3" s="10">
        <v>997</v>
      </c>
      <c r="T3" s="10"/>
      <c r="U3" s="10"/>
      <c r="V3" s="10"/>
      <c r="W3" s="10"/>
      <c r="X3" s="35"/>
      <c r="Y3" s="10">
        <v>997</v>
      </c>
      <c r="Z3" s="10"/>
      <c r="AA3" s="10"/>
      <c r="AB3" s="10"/>
      <c r="AC3" s="10"/>
      <c r="AD3" s="35"/>
      <c r="AE3" s="10">
        <v>997</v>
      </c>
      <c r="AF3" s="10"/>
      <c r="AG3" s="10"/>
      <c r="AH3" s="10"/>
      <c r="AI3" s="10"/>
      <c r="AJ3" s="35"/>
      <c r="AK3" s="10">
        <v>997</v>
      </c>
      <c r="AL3" s="10"/>
      <c r="AM3" s="10"/>
      <c r="AN3" s="10"/>
      <c r="AO3" s="10"/>
      <c r="AP3" s="35"/>
      <c r="AQ3" s="10"/>
      <c r="AR3" s="10"/>
      <c r="AS3" s="35"/>
      <c r="AT3" s="10"/>
      <c r="AU3" s="10"/>
      <c r="AV3" s="10"/>
      <c r="AW3" s="35"/>
    </row>
    <row r="4" spans="1:49" x14ac:dyDescent="0.3">
      <c r="A4" t="s">
        <v>765</v>
      </c>
      <c r="B4">
        <v>10001</v>
      </c>
      <c r="C4" t="s">
        <v>24</v>
      </c>
      <c r="D4" t="s">
        <v>131</v>
      </c>
      <c r="E4" t="s">
        <v>133</v>
      </c>
      <c r="F4" t="s">
        <v>128</v>
      </c>
      <c r="G4" t="s">
        <v>117</v>
      </c>
      <c r="H4">
        <v>-454</v>
      </c>
      <c r="I4" t="s">
        <v>124</v>
      </c>
      <c r="J4" s="33"/>
      <c r="K4">
        <v>14.981999999999999</v>
      </c>
      <c r="L4" s="33"/>
      <c r="M4" t="s">
        <v>206</v>
      </c>
      <c r="N4">
        <v>1.5</v>
      </c>
      <c r="O4" s="42">
        <v>1.567E-2</v>
      </c>
      <c r="P4">
        <v>7.1141800000000002</v>
      </c>
      <c r="Q4">
        <v>8.6141800000000011</v>
      </c>
      <c r="R4" s="33"/>
      <c r="S4" t="s">
        <v>832</v>
      </c>
      <c r="T4">
        <v>1.7</v>
      </c>
      <c r="U4" s="42">
        <v>1.77E-2</v>
      </c>
      <c r="V4">
        <v>8.0358000000000001</v>
      </c>
      <c r="W4">
        <v>9.7357999999999993</v>
      </c>
      <c r="X4" s="33"/>
      <c r="AD4" s="33"/>
      <c r="AE4" t="s">
        <v>865</v>
      </c>
      <c r="AF4">
        <v>1.77</v>
      </c>
      <c r="AG4" s="42">
        <v>1.77E-2</v>
      </c>
      <c r="AH4">
        <v>8.0358000000000001</v>
      </c>
      <c r="AI4">
        <v>9.5358000000000001</v>
      </c>
      <c r="AJ4" s="33"/>
      <c r="AP4" s="33"/>
      <c r="AS4" s="33"/>
      <c r="AT4" t="s">
        <v>51</v>
      </c>
      <c r="AU4" t="s">
        <v>1218</v>
      </c>
      <c r="AV4">
        <v>7</v>
      </c>
      <c r="AW4" s="33"/>
    </row>
    <row r="5" spans="1:49" x14ac:dyDescent="0.3">
      <c r="A5" t="s">
        <v>765</v>
      </c>
      <c r="B5">
        <v>110001</v>
      </c>
      <c r="C5" t="s">
        <v>24</v>
      </c>
      <c r="D5" t="s">
        <v>131</v>
      </c>
      <c r="E5" t="s">
        <v>134</v>
      </c>
      <c r="F5" t="s">
        <v>128</v>
      </c>
      <c r="H5">
        <v>-454</v>
      </c>
      <c r="I5" t="s">
        <v>124</v>
      </c>
      <c r="J5" s="33"/>
      <c r="K5">
        <v>14.981999999999999</v>
      </c>
      <c r="L5" s="33"/>
      <c r="R5" s="33"/>
      <c r="X5" s="33"/>
      <c r="AD5" s="33"/>
      <c r="AJ5" s="33"/>
      <c r="AP5" s="33"/>
      <c r="AQ5" t="s">
        <v>874</v>
      </c>
      <c r="AR5">
        <v>2.1230000000000002</v>
      </c>
      <c r="AS5" s="33"/>
      <c r="AT5" t="s">
        <v>51</v>
      </c>
      <c r="AU5" t="s">
        <v>1218</v>
      </c>
      <c r="AV5">
        <v>7</v>
      </c>
      <c r="AW5" s="33"/>
    </row>
    <row r="6" spans="1:49" x14ac:dyDescent="0.3">
      <c r="A6" t="s">
        <v>765</v>
      </c>
      <c r="B6">
        <v>1000973</v>
      </c>
      <c r="C6" t="s">
        <v>36</v>
      </c>
      <c r="D6" t="s">
        <v>132</v>
      </c>
      <c r="E6" t="s">
        <v>134</v>
      </c>
      <c r="F6" t="s">
        <v>128</v>
      </c>
      <c r="G6" t="s">
        <v>120</v>
      </c>
      <c r="H6">
        <v>5882</v>
      </c>
      <c r="I6" t="s">
        <v>114</v>
      </c>
      <c r="J6" s="33"/>
      <c r="K6">
        <v>194.10599999999999</v>
      </c>
      <c r="L6" s="33"/>
      <c r="R6" s="33"/>
      <c r="X6" s="33"/>
      <c r="AD6" s="33"/>
      <c r="AJ6" s="33"/>
      <c r="AK6" t="s">
        <v>871</v>
      </c>
      <c r="AL6">
        <v>3.15</v>
      </c>
      <c r="AM6" s="42">
        <v>1.67E-2</v>
      </c>
      <c r="AN6">
        <v>98.229399999999998</v>
      </c>
      <c r="AO6">
        <v>101.3794</v>
      </c>
      <c r="AP6" s="33"/>
      <c r="AS6" s="33"/>
      <c r="AT6" t="s">
        <v>53</v>
      </c>
      <c r="AV6">
        <v>7</v>
      </c>
      <c r="AW6" s="33"/>
    </row>
    <row r="7" spans="1:49" x14ac:dyDescent="0.3">
      <c r="A7" t="s">
        <v>765</v>
      </c>
      <c r="B7">
        <v>1000974</v>
      </c>
      <c r="C7" t="s">
        <v>37</v>
      </c>
      <c r="D7" t="s">
        <v>132</v>
      </c>
      <c r="E7" t="s">
        <v>134</v>
      </c>
      <c r="F7" t="s">
        <v>128</v>
      </c>
      <c r="G7" t="s">
        <v>120</v>
      </c>
      <c r="H7">
        <v>5882</v>
      </c>
      <c r="I7" t="s">
        <v>114</v>
      </c>
      <c r="J7" s="33"/>
      <c r="K7">
        <v>194.10599999999999</v>
      </c>
      <c r="L7" s="33"/>
      <c r="R7" s="33"/>
      <c r="X7" s="33"/>
      <c r="AD7" s="33"/>
      <c r="AJ7" s="33"/>
      <c r="AK7" t="s">
        <v>872</v>
      </c>
      <c r="AL7">
        <v>3.1669999999999998</v>
      </c>
      <c r="AM7" s="42">
        <v>1.67E-2</v>
      </c>
      <c r="AN7">
        <v>98.229399999999998</v>
      </c>
      <c r="AO7">
        <v>101.3964</v>
      </c>
      <c r="AP7" s="33"/>
      <c r="AS7" s="33"/>
      <c r="AT7" t="s">
        <v>54</v>
      </c>
      <c r="AV7">
        <v>7</v>
      </c>
      <c r="AW7" s="33"/>
    </row>
    <row r="8" spans="1:49" x14ac:dyDescent="0.3">
      <c r="A8" t="s">
        <v>765</v>
      </c>
      <c r="B8">
        <v>1000975</v>
      </c>
      <c r="C8" t="s">
        <v>37</v>
      </c>
      <c r="D8" t="s">
        <v>132</v>
      </c>
      <c r="E8" t="s">
        <v>133</v>
      </c>
      <c r="F8" t="s">
        <v>128</v>
      </c>
      <c r="G8" t="s">
        <v>120</v>
      </c>
      <c r="H8">
        <v>5882</v>
      </c>
      <c r="I8" t="s">
        <v>114</v>
      </c>
      <c r="J8" s="33"/>
      <c r="K8">
        <v>194.10599999999999</v>
      </c>
      <c r="L8" s="33"/>
      <c r="R8" s="33"/>
      <c r="X8" s="33"/>
      <c r="AD8" s="33"/>
      <c r="AJ8" s="33"/>
      <c r="AK8" t="s">
        <v>872</v>
      </c>
      <c r="AL8">
        <v>3.1669999999999998</v>
      </c>
      <c r="AM8" s="42">
        <v>1.67E-2</v>
      </c>
      <c r="AN8">
        <v>98.229399999999998</v>
      </c>
      <c r="AO8">
        <v>101.3964</v>
      </c>
      <c r="AP8" s="33"/>
      <c r="AS8" s="33"/>
      <c r="AT8" t="s">
        <v>54</v>
      </c>
      <c r="AV8">
        <v>7</v>
      </c>
      <c r="AW8" s="33"/>
    </row>
    <row r="9" spans="1:49" x14ac:dyDescent="0.3">
      <c r="A9" t="s">
        <v>765</v>
      </c>
      <c r="B9">
        <v>11000975</v>
      </c>
      <c r="C9" t="s">
        <v>37</v>
      </c>
      <c r="D9" t="s">
        <v>131</v>
      </c>
      <c r="E9" t="s">
        <v>134</v>
      </c>
      <c r="F9" t="s">
        <v>128</v>
      </c>
      <c r="H9">
        <v>5882</v>
      </c>
      <c r="I9" t="s">
        <v>114</v>
      </c>
      <c r="J9" s="33"/>
      <c r="K9">
        <v>194.10599999999999</v>
      </c>
      <c r="L9" s="33"/>
      <c r="R9" s="33"/>
      <c r="X9" s="33"/>
      <c r="AD9" s="33"/>
      <c r="AJ9" s="33"/>
      <c r="AP9" s="33"/>
      <c r="AQ9" t="s">
        <v>877</v>
      </c>
      <c r="AR9">
        <v>2.1230000000000002</v>
      </c>
      <c r="AS9" s="33"/>
      <c r="AT9" t="s">
        <v>54</v>
      </c>
      <c r="AV9">
        <v>7</v>
      </c>
      <c r="AW9" s="33"/>
    </row>
    <row r="10" spans="1:49" x14ac:dyDescent="0.3">
      <c r="A10" t="s">
        <v>765</v>
      </c>
      <c r="B10">
        <v>1000977</v>
      </c>
      <c r="C10" t="s">
        <v>36</v>
      </c>
      <c r="D10" t="s">
        <v>132</v>
      </c>
      <c r="E10" t="s">
        <v>133</v>
      </c>
      <c r="F10" t="s">
        <v>1208</v>
      </c>
      <c r="G10" t="s">
        <v>120</v>
      </c>
      <c r="H10">
        <v>588554</v>
      </c>
      <c r="I10" t="s">
        <v>114</v>
      </c>
      <c r="J10" s="33"/>
      <c r="K10">
        <v>19422.281999999999</v>
      </c>
      <c r="L10" s="33"/>
      <c r="R10" s="33"/>
      <c r="X10" s="33"/>
      <c r="AD10" s="33"/>
      <c r="AJ10" s="33"/>
      <c r="AK10" t="s">
        <v>871</v>
      </c>
      <c r="AL10">
        <v>3.15</v>
      </c>
      <c r="AM10" s="42">
        <v>1.67E-2</v>
      </c>
      <c r="AN10">
        <v>9828.8518000000004</v>
      </c>
      <c r="AO10">
        <v>9832.0018</v>
      </c>
      <c r="AP10" s="33"/>
      <c r="AS10" s="33"/>
      <c r="AT10" t="s">
        <v>53</v>
      </c>
      <c r="AV10">
        <v>2</v>
      </c>
      <c r="AW10" s="33"/>
    </row>
    <row r="11" spans="1:49" x14ac:dyDescent="0.3">
      <c r="A11" t="s">
        <v>765</v>
      </c>
      <c r="B11">
        <v>11000977</v>
      </c>
      <c r="C11" t="s">
        <v>36</v>
      </c>
      <c r="D11" t="s">
        <v>131</v>
      </c>
      <c r="E11" t="s">
        <v>134</v>
      </c>
      <c r="F11" t="s">
        <v>1208</v>
      </c>
      <c r="H11">
        <v>588554</v>
      </c>
      <c r="I11" t="s">
        <v>114</v>
      </c>
      <c r="J11" s="33"/>
      <c r="K11">
        <v>19422.281999999999</v>
      </c>
      <c r="L11" s="33"/>
      <c r="R11" s="33"/>
      <c r="X11" s="33"/>
      <c r="AD11" s="33"/>
      <c r="AJ11" s="33"/>
      <c r="AP11" s="33"/>
      <c r="AQ11" t="s">
        <v>879</v>
      </c>
      <c r="AR11">
        <v>2.1230000000000002</v>
      </c>
      <c r="AS11" s="33"/>
      <c r="AT11" t="s">
        <v>53</v>
      </c>
      <c r="AV11">
        <v>2</v>
      </c>
      <c r="AW11" s="33"/>
    </row>
    <row r="12" spans="1:49" x14ac:dyDescent="0.3">
      <c r="A12" t="s">
        <v>765</v>
      </c>
      <c r="B12">
        <v>1000979</v>
      </c>
      <c r="C12" t="s">
        <v>36</v>
      </c>
      <c r="D12" t="s">
        <v>132</v>
      </c>
      <c r="E12" t="s">
        <v>133</v>
      </c>
      <c r="F12" t="s">
        <v>1208</v>
      </c>
      <c r="G12" t="s">
        <v>115</v>
      </c>
      <c r="H12">
        <v>588554</v>
      </c>
      <c r="I12" t="s">
        <v>114</v>
      </c>
      <c r="J12" s="33"/>
      <c r="K12">
        <v>19422.281999999999</v>
      </c>
      <c r="L12" s="33"/>
      <c r="R12" s="33"/>
      <c r="X12" s="33"/>
      <c r="AD12" s="33"/>
      <c r="AJ12" s="33"/>
      <c r="AK12" t="s">
        <v>871</v>
      </c>
      <c r="AL12">
        <v>3.15</v>
      </c>
      <c r="AM12" s="42">
        <v>1.67E-2</v>
      </c>
      <c r="AN12">
        <v>9828.8518000000004</v>
      </c>
      <c r="AO12">
        <v>9832.0018</v>
      </c>
      <c r="AP12" s="33"/>
      <c r="AS12" s="33"/>
      <c r="AT12" t="s">
        <v>53</v>
      </c>
      <c r="AV12">
        <v>2</v>
      </c>
      <c r="AW12" s="33"/>
    </row>
    <row r="13" spans="1:49" x14ac:dyDescent="0.3">
      <c r="A13" t="s">
        <v>765</v>
      </c>
      <c r="B13">
        <v>11000979</v>
      </c>
      <c r="C13" t="s">
        <v>36</v>
      </c>
      <c r="D13" t="s">
        <v>131</v>
      </c>
      <c r="E13" t="s">
        <v>134</v>
      </c>
      <c r="F13" t="s">
        <v>1208</v>
      </c>
      <c r="H13">
        <v>588554</v>
      </c>
      <c r="I13" t="s">
        <v>114</v>
      </c>
      <c r="J13" s="33"/>
      <c r="K13">
        <v>19422.281999999999</v>
      </c>
      <c r="L13" s="33"/>
      <c r="R13" s="33"/>
      <c r="X13" s="33"/>
      <c r="AD13" s="33"/>
      <c r="AJ13" s="33"/>
      <c r="AP13" s="33"/>
      <c r="AQ13" t="s">
        <v>879</v>
      </c>
      <c r="AR13">
        <v>2.1230000000000002</v>
      </c>
      <c r="AS13" s="33"/>
      <c r="AT13" t="s">
        <v>53</v>
      </c>
      <c r="AV13">
        <v>2</v>
      </c>
      <c r="AW13" s="33"/>
    </row>
    <row r="14" spans="1:49" x14ac:dyDescent="0.3">
      <c r="A14" t="s">
        <v>765</v>
      </c>
      <c r="B14">
        <v>1000981</v>
      </c>
      <c r="C14" t="s">
        <v>24</v>
      </c>
      <c r="D14" t="s">
        <v>131</v>
      </c>
      <c r="E14" t="s">
        <v>133</v>
      </c>
      <c r="F14" t="s">
        <v>1208</v>
      </c>
      <c r="G14" t="s">
        <v>115</v>
      </c>
      <c r="H14">
        <v>584</v>
      </c>
      <c r="I14" t="s">
        <v>122</v>
      </c>
      <c r="J14" s="33"/>
      <c r="K14">
        <v>19.271999999999998</v>
      </c>
      <c r="L14" s="33"/>
      <c r="M14" t="s">
        <v>614</v>
      </c>
      <c r="N14">
        <v>1</v>
      </c>
      <c r="O14" s="42">
        <v>1.567E-2</v>
      </c>
      <c r="P14">
        <v>9.1512799999999999</v>
      </c>
      <c r="Q14">
        <v>10.15128</v>
      </c>
      <c r="R14" s="33"/>
      <c r="S14" t="s">
        <v>788</v>
      </c>
      <c r="T14">
        <v>1.6</v>
      </c>
      <c r="U14" s="42">
        <v>1.77E-2</v>
      </c>
      <c r="V14">
        <v>10.3368</v>
      </c>
      <c r="W14">
        <v>11.9368</v>
      </c>
      <c r="X14" s="33"/>
      <c r="AD14" s="33"/>
      <c r="AE14" t="s">
        <v>852</v>
      </c>
      <c r="AF14">
        <v>1.66</v>
      </c>
      <c r="AG14" s="42">
        <v>1.77E-2</v>
      </c>
      <c r="AH14">
        <v>10.3368</v>
      </c>
      <c r="AI14">
        <v>11.3368</v>
      </c>
      <c r="AJ14" s="33"/>
      <c r="AP14" s="33"/>
      <c r="AS14" s="33"/>
      <c r="AT14" t="s">
        <v>51</v>
      </c>
      <c r="AU14" t="s">
        <v>1218</v>
      </c>
      <c r="AV14">
        <v>2</v>
      </c>
      <c r="AW14" s="33"/>
    </row>
    <row r="15" spans="1:49" x14ac:dyDescent="0.3">
      <c r="A15" t="s">
        <v>765</v>
      </c>
      <c r="B15">
        <v>11000981</v>
      </c>
      <c r="C15" t="s">
        <v>24</v>
      </c>
      <c r="D15" t="s">
        <v>131</v>
      </c>
      <c r="E15" t="s">
        <v>134</v>
      </c>
      <c r="F15" t="s">
        <v>1208</v>
      </c>
      <c r="H15">
        <v>584</v>
      </c>
      <c r="I15" t="s">
        <v>122</v>
      </c>
      <c r="J15" s="33"/>
      <c r="K15">
        <v>19.271999999999998</v>
      </c>
      <c r="L15" s="33"/>
      <c r="R15" s="33"/>
      <c r="X15" s="33"/>
      <c r="AD15" s="33"/>
      <c r="AJ15" s="33"/>
      <c r="AP15" s="33"/>
      <c r="AQ15" t="s">
        <v>874</v>
      </c>
      <c r="AR15">
        <v>2.1230000000000002</v>
      </c>
      <c r="AS15" s="33"/>
      <c r="AT15" t="s">
        <v>51</v>
      </c>
      <c r="AU15" t="s">
        <v>1218</v>
      </c>
      <c r="AV15">
        <v>2</v>
      </c>
      <c r="AW15" s="33"/>
    </row>
    <row r="16" spans="1:49" x14ac:dyDescent="0.3">
      <c r="A16" t="s">
        <v>765</v>
      </c>
      <c r="B16">
        <v>1000983</v>
      </c>
      <c r="C16" t="s">
        <v>24</v>
      </c>
      <c r="D16" t="s">
        <v>131</v>
      </c>
      <c r="E16" t="s">
        <v>133</v>
      </c>
      <c r="F16" t="s">
        <v>1208</v>
      </c>
      <c r="G16" t="s">
        <v>115</v>
      </c>
      <c r="H16">
        <v>-584</v>
      </c>
      <c r="I16" t="s">
        <v>126</v>
      </c>
      <c r="J16" s="33"/>
      <c r="K16">
        <v>19.271999999999998</v>
      </c>
      <c r="L16" s="33"/>
      <c r="M16" t="s">
        <v>631</v>
      </c>
      <c r="N16">
        <v>2</v>
      </c>
      <c r="O16" s="42">
        <v>1.567E-2</v>
      </c>
      <c r="P16">
        <v>9.1512799999999999</v>
      </c>
      <c r="Q16">
        <v>11.15128</v>
      </c>
      <c r="R16" s="33"/>
      <c r="S16" t="s">
        <v>828</v>
      </c>
      <c r="T16">
        <v>1.7</v>
      </c>
      <c r="U16" s="42">
        <v>1.77E-2</v>
      </c>
      <c r="V16">
        <v>10.3368</v>
      </c>
      <c r="W16">
        <v>12.036799999999999</v>
      </c>
      <c r="X16" s="33"/>
      <c r="AD16" s="33"/>
      <c r="AE16" t="s">
        <v>864</v>
      </c>
      <c r="AF16">
        <v>1.77</v>
      </c>
      <c r="AG16" s="42">
        <v>1.77E-2</v>
      </c>
      <c r="AH16">
        <v>10.3368</v>
      </c>
      <c r="AI16">
        <v>12.3368</v>
      </c>
      <c r="AJ16" s="33"/>
      <c r="AP16" s="33"/>
      <c r="AS16" s="33"/>
      <c r="AT16" t="s">
        <v>51</v>
      </c>
      <c r="AU16" t="s">
        <v>1218</v>
      </c>
      <c r="AV16">
        <v>2</v>
      </c>
      <c r="AW16" s="33"/>
    </row>
    <row r="17" spans="1:49" x14ac:dyDescent="0.3">
      <c r="A17" t="s">
        <v>765</v>
      </c>
      <c r="B17">
        <v>11000983</v>
      </c>
      <c r="C17" t="s">
        <v>24</v>
      </c>
      <c r="D17" t="s">
        <v>131</v>
      </c>
      <c r="E17" t="s">
        <v>134</v>
      </c>
      <c r="F17" t="s">
        <v>1208</v>
      </c>
      <c r="H17">
        <v>-584</v>
      </c>
      <c r="I17" t="s">
        <v>126</v>
      </c>
      <c r="J17" s="33"/>
      <c r="K17">
        <v>19.271999999999998</v>
      </c>
      <c r="L17" s="33"/>
      <c r="R17" s="33"/>
      <c r="X17" s="33"/>
      <c r="AD17" s="33"/>
      <c r="AJ17" s="33"/>
      <c r="AP17" s="33"/>
      <c r="AQ17" t="s">
        <v>874</v>
      </c>
      <c r="AR17">
        <v>2.1230000000000002</v>
      </c>
      <c r="AS17" s="33"/>
      <c r="AT17" t="s">
        <v>51</v>
      </c>
      <c r="AU17" t="s">
        <v>1218</v>
      </c>
      <c r="AV17">
        <v>2</v>
      </c>
      <c r="AW17" s="33"/>
    </row>
    <row r="18" spans="1:49" x14ac:dyDescent="0.3">
      <c r="A18" t="s">
        <v>765</v>
      </c>
      <c r="B18">
        <v>1000985</v>
      </c>
      <c r="C18" t="s">
        <v>24</v>
      </c>
      <c r="D18" t="s">
        <v>131</v>
      </c>
      <c r="E18" t="s">
        <v>133</v>
      </c>
      <c r="F18" t="s">
        <v>1208</v>
      </c>
      <c r="G18" t="s">
        <v>115</v>
      </c>
      <c r="H18">
        <v>-5814</v>
      </c>
      <c r="I18" t="s">
        <v>116</v>
      </c>
      <c r="J18" s="33"/>
      <c r="K18">
        <v>191.86199999999999</v>
      </c>
      <c r="L18" s="33"/>
      <c r="M18" t="s">
        <v>206</v>
      </c>
      <c r="N18">
        <v>1.5</v>
      </c>
      <c r="O18" s="42">
        <v>1.567E-2</v>
      </c>
      <c r="P18">
        <v>91.105379999999997</v>
      </c>
      <c r="Q18">
        <v>92.605379999999997</v>
      </c>
      <c r="R18" s="33"/>
      <c r="S18" t="s">
        <v>828</v>
      </c>
      <c r="T18">
        <v>1.7</v>
      </c>
      <c r="U18" s="42">
        <v>1.77E-2</v>
      </c>
      <c r="V18">
        <v>102.90779999999999</v>
      </c>
      <c r="W18">
        <v>104.6078</v>
      </c>
      <c r="X18" s="33"/>
      <c r="AD18" s="33"/>
      <c r="AJ18" s="33"/>
      <c r="AP18" s="33"/>
      <c r="AS18" s="33"/>
      <c r="AT18" t="s">
        <v>51</v>
      </c>
      <c r="AU18" t="s">
        <v>1218</v>
      </c>
      <c r="AV18">
        <v>2</v>
      </c>
      <c r="AW18" s="33"/>
    </row>
    <row r="19" spans="1:49" x14ac:dyDescent="0.3">
      <c r="A19" t="s">
        <v>765</v>
      </c>
      <c r="B19">
        <v>11000985</v>
      </c>
      <c r="C19" t="s">
        <v>24</v>
      </c>
      <c r="D19" t="s">
        <v>131</v>
      </c>
      <c r="E19" t="s">
        <v>134</v>
      </c>
      <c r="F19" t="s">
        <v>1208</v>
      </c>
      <c r="H19">
        <v>-5814</v>
      </c>
      <c r="I19" t="s">
        <v>116</v>
      </c>
      <c r="J19" s="33"/>
      <c r="K19">
        <v>191.86199999999999</v>
      </c>
      <c r="L19" s="33"/>
      <c r="R19" s="33"/>
      <c r="X19" s="33"/>
      <c r="AD19" s="33"/>
      <c r="AJ19" s="33"/>
      <c r="AP19" s="33"/>
      <c r="AQ19" t="s">
        <v>874</v>
      </c>
      <c r="AR19">
        <v>2.1230000000000002</v>
      </c>
      <c r="AS19" s="33"/>
      <c r="AT19" t="s">
        <v>51</v>
      </c>
      <c r="AU19" t="s">
        <v>1218</v>
      </c>
      <c r="AV19">
        <v>2</v>
      </c>
      <c r="AW19" s="33"/>
    </row>
    <row r="20" spans="1:49" x14ac:dyDescent="0.3">
      <c r="A20" t="s">
        <v>765</v>
      </c>
      <c r="B20">
        <v>1000987</v>
      </c>
      <c r="C20" t="s">
        <v>24</v>
      </c>
      <c r="D20" t="s">
        <v>131</v>
      </c>
      <c r="E20" t="s">
        <v>134</v>
      </c>
      <c r="F20" t="s">
        <v>1208</v>
      </c>
      <c r="G20" t="s">
        <v>115</v>
      </c>
      <c r="H20">
        <v>-5814</v>
      </c>
      <c r="I20" t="s">
        <v>116</v>
      </c>
      <c r="J20" s="33"/>
      <c r="K20">
        <v>191.86199999999999</v>
      </c>
      <c r="L20" s="33"/>
      <c r="M20" t="s">
        <v>206</v>
      </c>
      <c r="N20">
        <v>1.5</v>
      </c>
      <c r="O20" s="42">
        <v>1.567E-2</v>
      </c>
      <c r="P20">
        <v>91.105379999999997</v>
      </c>
      <c r="Q20">
        <v>92.605379999999997</v>
      </c>
      <c r="R20" s="33"/>
      <c r="S20" t="s">
        <v>828</v>
      </c>
      <c r="T20">
        <v>1.7</v>
      </c>
      <c r="U20" s="42">
        <v>1.77E-2</v>
      </c>
      <c r="V20">
        <v>102.90779999999999</v>
      </c>
      <c r="W20">
        <v>104.6078</v>
      </c>
      <c r="X20" s="33"/>
      <c r="Y20" t="s">
        <v>826</v>
      </c>
      <c r="Z20">
        <v>1.7</v>
      </c>
      <c r="AA20" s="42">
        <v>1.77E-2</v>
      </c>
      <c r="AB20">
        <v>102.90779999999999</v>
      </c>
      <c r="AC20">
        <v>104.40779999999999</v>
      </c>
      <c r="AD20" s="33"/>
      <c r="AJ20" s="33"/>
      <c r="AP20" s="33"/>
      <c r="AS20" s="33"/>
      <c r="AT20" t="s">
        <v>51</v>
      </c>
      <c r="AU20" t="s">
        <v>1218</v>
      </c>
      <c r="AV20">
        <v>2</v>
      </c>
      <c r="AW20" s="33"/>
    </row>
    <row r="21" spans="1:49" x14ac:dyDescent="0.3">
      <c r="A21" t="s">
        <v>765</v>
      </c>
      <c r="B21">
        <v>1000988</v>
      </c>
      <c r="C21" t="s">
        <v>30</v>
      </c>
      <c r="D21" t="s">
        <v>131</v>
      </c>
      <c r="E21" t="s">
        <v>134</v>
      </c>
      <c r="F21" t="s">
        <v>1208</v>
      </c>
      <c r="G21" t="s">
        <v>115</v>
      </c>
      <c r="H21">
        <v>-5814</v>
      </c>
      <c r="I21" t="s">
        <v>116</v>
      </c>
      <c r="J21" s="33"/>
      <c r="K21">
        <v>191.86199999999999</v>
      </c>
      <c r="L21" s="33"/>
      <c r="M21" t="s">
        <v>212</v>
      </c>
      <c r="N21">
        <v>1.5</v>
      </c>
      <c r="O21" s="42">
        <v>1.567E-2</v>
      </c>
      <c r="P21">
        <v>91.105379999999997</v>
      </c>
      <c r="Q21">
        <v>92.605379999999997</v>
      </c>
      <c r="R21" s="33"/>
      <c r="S21" t="s">
        <v>838</v>
      </c>
      <c r="T21">
        <v>1.7</v>
      </c>
      <c r="U21" s="42">
        <v>1.77E-2</v>
      </c>
      <c r="V21">
        <v>102.90779999999999</v>
      </c>
      <c r="W21">
        <v>104.6078</v>
      </c>
      <c r="X21" s="33"/>
      <c r="Y21" t="s">
        <v>836</v>
      </c>
      <c r="Z21">
        <v>1.7</v>
      </c>
      <c r="AA21" s="42">
        <v>1.77E-2</v>
      </c>
      <c r="AB21">
        <v>102.90779999999999</v>
      </c>
      <c r="AC21">
        <v>104.40779999999999</v>
      </c>
      <c r="AD21" s="33"/>
      <c r="AJ21" s="33"/>
      <c r="AP21" s="33"/>
      <c r="AS21" s="33"/>
      <c r="AT21" t="s">
        <v>52</v>
      </c>
      <c r="AU21" t="s">
        <v>1219</v>
      </c>
      <c r="AV21">
        <v>2</v>
      </c>
      <c r="AW21" s="33"/>
    </row>
    <row r="22" spans="1:49" x14ac:dyDescent="0.3">
      <c r="A22" t="s">
        <v>765</v>
      </c>
      <c r="B22">
        <v>1000989</v>
      </c>
      <c r="C22" t="s">
        <v>18</v>
      </c>
      <c r="D22" t="s">
        <v>131</v>
      </c>
      <c r="E22" t="s">
        <v>134</v>
      </c>
      <c r="F22" t="s">
        <v>1208</v>
      </c>
      <c r="G22" t="s">
        <v>115</v>
      </c>
      <c r="H22">
        <v>58156</v>
      </c>
      <c r="I22" t="s">
        <v>122</v>
      </c>
      <c r="J22" s="33"/>
      <c r="K22">
        <v>1919.1479999999999</v>
      </c>
      <c r="L22" s="33"/>
      <c r="M22" t="s">
        <v>672</v>
      </c>
      <c r="N22">
        <v>1</v>
      </c>
      <c r="O22" s="42">
        <v>1.567E-2</v>
      </c>
      <c r="P22">
        <v>911.30452000000002</v>
      </c>
      <c r="Q22">
        <v>912.30452000000002</v>
      </c>
      <c r="R22" s="33"/>
      <c r="S22" t="s">
        <v>778</v>
      </c>
      <c r="T22">
        <v>1.6</v>
      </c>
      <c r="U22" s="42">
        <v>1.77E-2</v>
      </c>
      <c r="V22">
        <v>1029.3612000000001</v>
      </c>
      <c r="W22">
        <v>1030.9612</v>
      </c>
      <c r="X22" s="33"/>
      <c r="Y22" t="s">
        <v>776</v>
      </c>
      <c r="Z22">
        <v>1.6</v>
      </c>
      <c r="AA22" s="42">
        <v>1.77E-2</v>
      </c>
      <c r="AB22">
        <v>1029.3612000000001</v>
      </c>
      <c r="AC22">
        <v>1030.3612000000001</v>
      </c>
      <c r="AD22" s="33"/>
      <c r="AE22" t="s">
        <v>849</v>
      </c>
      <c r="AF22">
        <v>1.66</v>
      </c>
      <c r="AG22" s="42">
        <v>1.77E-2</v>
      </c>
      <c r="AH22">
        <v>1029.3612000000001</v>
      </c>
      <c r="AI22">
        <v>1030.3612000000001</v>
      </c>
      <c r="AJ22" s="33"/>
      <c r="AP22" s="33"/>
      <c r="AS22" s="33"/>
      <c r="AT22" t="s">
        <v>49</v>
      </c>
      <c r="AU22" t="s">
        <v>1217</v>
      </c>
      <c r="AV22">
        <v>2</v>
      </c>
      <c r="AW22" s="33"/>
    </row>
    <row r="23" spans="1:49" x14ac:dyDescent="0.3">
      <c r="A23" t="s">
        <v>765</v>
      </c>
      <c r="B23">
        <v>1000990</v>
      </c>
      <c r="C23" t="s">
        <v>26</v>
      </c>
      <c r="D23" t="s">
        <v>131</v>
      </c>
      <c r="E23" t="s">
        <v>133</v>
      </c>
      <c r="F23" t="s">
        <v>1208</v>
      </c>
      <c r="G23" t="s">
        <v>115</v>
      </c>
      <c r="H23">
        <v>585566</v>
      </c>
      <c r="I23" t="s">
        <v>119</v>
      </c>
      <c r="J23" s="33"/>
      <c r="K23">
        <v>19323.678</v>
      </c>
      <c r="L23" s="33"/>
      <c r="M23" t="s">
        <v>651</v>
      </c>
      <c r="N23">
        <v>2.02</v>
      </c>
      <c r="O23" s="42">
        <v>1.567E-2</v>
      </c>
      <c r="P23">
        <v>9175.8192199999994</v>
      </c>
      <c r="Q23">
        <v>9177.8392199999998</v>
      </c>
      <c r="R23" s="33"/>
      <c r="S23" t="s">
        <v>788</v>
      </c>
      <c r="T23">
        <v>1.6</v>
      </c>
      <c r="U23" s="42">
        <v>1.77E-2</v>
      </c>
      <c r="V23">
        <v>10364.5182</v>
      </c>
      <c r="W23">
        <v>10366.118200000001</v>
      </c>
      <c r="X23" s="33"/>
      <c r="AD23" s="33"/>
      <c r="AE23" t="s">
        <v>852</v>
      </c>
      <c r="AF23">
        <v>1.66</v>
      </c>
      <c r="AG23" s="42">
        <v>1.77E-2</v>
      </c>
      <c r="AH23">
        <v>10364.5182</v>
      </c>
      <c r="AI23">
        <v>10366.538200000001</v>
      </c>
      <c r="AJ23" s="33"/>
      <c r="AP23" s="33"/>
      <c r="AS23" s="33"/>
      <c r="AT23" t="s">
        <v>51</v>
      </c>
      <c r="AU23" t="s">
        <v>1218</v>
      </c>
      <c r="AV23">
        <v>2</v>
      </c>
      <c r="AW23" s="33"/>
    </row>
    <row r="24" spans="1:49" x14ac:dyDescent="0.3">
      <c r="A24" t="s">
        <v>765</v>
      </c>
      <c r="B24">
        <v>11000990</v>
      </c>
      <c r="C24" t="s">
        <v>26</v>
      </c>
      <c r="D24" t="s">
        <v>131</v>
      </c>
      <c r="E24" t="s">
        <v>134</v>
      </c>
      <c r="F24" t="s">
        <v>1208</v>
      </c>
      <c r="H24">
        <v>585566</v>
      </c>
      <c r="I24" t="s">
        <v>119</v>
      </c>
      <c r="J24" s="33"/>
      <c r="K24">
        <v>19323.678</v>
      </c>
      <c r="L24" s="33"/>
      <c r="R24" s="33"/>
      <c r="X24" s="33"/>
      <c r="AD24" s="33"/>
      <c r="AJ24" s="33"/>
      <c r="AP24" s="33"/>
      <c r="AQ24" t="s">
        <v>874</v>
      </c>
      <c r="AR24">
        <v>2.1230000000000002</v>
      </c>
      <c r="AS24" s="33"/>
      <c r="AT24" t="s">
        <v>51</v>
      </c>
      <c r="AU24" t="s">
        <v>1218</v>
      </c>
      <c r="AV24">
        <v>2</v>
      </c>
      <c r="AW24" s="33"/>
    </row>
    <row r="25" spans="1:49" x14ac:dyDescent="0.3">
      <c r="A25" t="s">
        <v>1228</v>
      </c>
      <c r="B25" t="s">
        <v>1228</v>
      </c>
      <c r="D25" t="s">
        <v>131</v>
      </c>
      <c r="E25" t="s">
        <v>134</v>
      </c>
      <c r="J25" s="33"/>
      <c r="L25" s="33"/>
      <c r="R25" s="33"/>
      <c r="X25" s="33"/>
      <c r="AD25" s="33"/>
      <c r="AJ25" s="33"/>
      <c r="AP25" s="33"/>
      <c r="AS25" s="33"/>
      <c r="AW25" s="33"/>
    </row>
  </sheetData>
  <autoFilter ref="A3:AW3" xr:uid="{1D751523-F0D1-4FB0-A279-93FAFB6ED8C1}"/>
  <mergeCells count="1">
    <mergeCell ref="AQ1:AR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icing">
                <anchor moveWithCells="1" sizeWithCells="1">
                  <from>
                    <xdr:col>21</xdr:col>
                    <xdr:colOff>68580</xdr:colOff>
                    <xdr:row>0</xdr:row>
                    <xdr:rowOff>60960</xdr:rowOff>
                  </from>
                  <to>
                    <xdr:col>24</xdr:col>
                    <xdr:colOff>213360</xdr:colOff>
                    <xdr:row>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greshPricing">
                <anchor moveWithCells="1" sizeWithCells="1">
                  <from>
                    <xdr:col>18</xdr:col>
                    <xdr:colOff>548640</xdr:colOff>
                    <xdr:row>0</xdr:row>
                    <xdr:rowOff>38100</xdr:rowOff>
                  </from>
                  <to>
                    <xdr:col>20</xdr:col>
                    <xdr:colOff>495300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invoicing">
                <anchor moveWithCells="1" sizeWithCells="1">
                  <from>
                    <xdr:col>24</xdr:col>
                    <xdr:colOff>533400</xdr:colOff>
                    <xdr:row>0</xdr:row>
                    <xdr:rowOff>68580</xdr:rowOff>
                  </from>
                  <to>
                    <xdr:col>27</xdr:col>
                    <xdr:colOff>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generateInvoice">
                <anchor moveWithCells="1" sizeWithCells="1">
                  <from>
                    <xdr:col>27</xdr:col>
                    <xdr:colOff>533400</xdr:colOff>
                    <xdr:row>0</xdr:row>
                    <xdr:rowOff>68580</xdr:rowOff>
                  </from>
                  <to>
                    <xdr:col>31</xdr:col>
                    <xdr:colOff>175260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C15B8-A3A8-4709-8A52-E9CC6F8B8182}">
  <sheetPr codeName="Sheet18"/>
  <dimension ref="A1:F10"/>
  <sheetViews>
    <sheetView workbookViewId="0">
      <selection activeCell="E10" sqref="E10"/>
    </sheetView>
  </sheetViews>
  <sheetFormatPr defaultRowHeight="14.4" x14ac:dyDescent="0.3"/>
  <cols>
    <col min="1" max="2" width="9.5546875" bestFit="1" customWidth="1"/>
    <col min="4" max="4" width="9" bestFit="1" customWidth="1"/>
  </cols>
  <sheetData>
    <row r="1" spans="1:6" x14ac:dyDescent="0.3">
      <c r="B1" t="s">
        <v>1320</v>
      </c>
      <c r="E1" t="s">
        <v>1321</v>
      </c>
    </row>
    <row r="2" spans="1:6" x14ac:dyDescent="0.3">
      <c r="A2">
        <v>10001</v>
      </c>
      <c r="B2" t="s">
        <v>206</v>
      </c>
      <c r="C2" t="b">
        <f>A2=E2</f>
        <v>1</v>
      </c>
      <c r="D2" t="b">
        <f>B2=F2</f>
        <v>1</v>
      </c>
      <c r="E2">
        <v>10001</v>
      </c>
      <c r="F2" t="s">
        <v>206</v>
      </c>
    </row>
    <row r="3" spans="1:6" x14ac:dyDescent="0.3">
      <c r="A3">
        <v>1000981</v>
      </c>
      <c r="B3" t="s">
        <v>614</v>
      </c>
      <c r="C3" t="b">
        <f t="shared" ref="C3:C10" si="0">A3=E3</f>
        <v>1</v>
      </c>
      <c r="D3" t="b">
        <f t="shared" ref="D3:D10" si="1">B3=F3</f>
        <v>1</v>
      </c>
      <c r="E3">
        <v>1000981</v>
      </c>
      <c r="F3" t="s">
        <v>614</v>
      </c>
    </row>
    <row r="4" spans="1:6" ht="13.8" customHeight="1" x14ac:dyDescent="0.3">
      <c r="A4">
        <v>1000983</v>
      </c>
      <c r="B4" t="s">
        <v>631</v>
      </c>
      <c r="C4" t="b">
        <f t="shared" si="0"/>
        <v>1</v>
      </c>
      <c r="D4" t="b">
        <f t="shared" si="1"/>
        <v>1</v>
      </c>
      <c r="E4">
        <v>1000983</v>
      </c>
      <c r="F4" t="s">
        <v>631</v>
      </c>
    </row>
    <row r="5" spans="1:6" ht="13.8" customHeight="1" x14ac:dyDescent="0.3">
      <c r="A5">
        <v>1000985</v>
      </c>
      <c r="B5" t="s">
        <v>206</v>
      </c>
      <c r="C5" t="b">
        <f t="shared" si="0"/>
        <v>1</v>
      </c>
      <c r="D5" t="b">
        <f t="shared" si="1"/>
        <v>1</v>
      </c>
      <c r="E5">
        <v>1000985</v>
      </c>
      <c r="F5" t="s">
        <v>206</v>
      </c>
    </row>
    <row r="6" spans="1:6" ht="13.8" customHeight="1" x14ac:dyDescent="0.3">
      <c r="A6">
        <v>1000987</v>
      </c>
      <c r="B6" t="s">
        <v>206</v>
      </c>
      <c r="C6" t="b">
        <f t="shared" si="0"/>
        <v>1</v>
      </c>
      <c r="D6" t="b">
        <f t="shared" si="1"/>
        <v>1</v>
      </c>
      <c r="E6">
        <v>1000987</v>
      </c>
      <c r="F6" t="s">
        <v>206</v>
      </c>
    </row>
    <row r="7" spans="1:6" ht="13.8" customHeight="1" x14ac:dyDescent="0.3">
      <c r="A7">
        <v>1000988</v>
      </c>
      <c r="B7" t="s">
        <v>212</v>
      </c>
      <c r="C7" t="b">
        <f t="shared" si="0"/>
        <v>1</v>
      </c>
      <c r="D7" t="b">
        <f t="shared" si="1"/>
        <v>1</v>
      </c>
      <c r="E7">
        <v>1000988</v>
      </c>
      <c r="F7" t="s">
        <v>212</v>
      </c>
    </row>
    <row r="8" spans="1:6" ht="13.8" customHeight="1" x14ac:dyDescent="0.3">
      <c r="A8">
        <v>1000989</v>
      </c>
      <c r="B8" t="s">
        <v>672</v>
      </c>
      <c r="C8" t="b">
        <f t="shared" si="0"/>
        <v>1</v>
      </c>
      <c r="D8" t="b">
        <f t="shared" si="1"/>
        <v>1</v>
      </c>
      <c r="E8">
        <v>1000989</v>
      </c>
      <c r="F8" t="s">
        <v>672</v>
      </c>
    </row>
    <row r="9" spans="1:6" ht="13.8" customHeight="1" x14ac:dyDescent="0.3">
      <c r="A9">
        <v>1000990</v>
      </c>
      <c r="B9" t="s">
        <v>651</v>
      </c>
      <c r="C9" t="b">
        <f t="shared" si="0"/>
        <v>1</v>
      </c>
      <c r="D9" t="b">
        <f t="shared" si="1"/>
        <v>1</v>
      </c>
      <c r="E9">
        <v>1000990</v>
      </c>
      <c r="F9" t="s">
        <v>651</v>
      </c>
    </row>
    <row r="10" spans="1:6" ht="13.8" customHeight="1" x14ac:dyDescent="0.3">
      <c r="C10" t="b">
        <f t="shared" si="0"/>
        <v>0</v>
      </c>
      <c r="D10" t="b">
        <f t="shared" si="1"/>
        <v>0</v>
      </c>
      <c r="E10">
        <v>11000985</v>
      </c>
      <c r="F10" t="s">
        <v>206</v>
      </c>
    </row>
  </sheetData>
  <sortState xmlns:xlrd2="http://schemas.microsoft.com/office/spreadsheetml/2017/richdata2" ref="A2:B25">
    <sortCondition ref="A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E1:L29"/>
  <sheetViews>
    <sheetView workbookViewId="0">
      <selection activeCell="E13" sqref="E13"/>
    </sheetView>
  </sheetViews>
  <sheetFormatPr defaultRowHeight="14.4" x14ac:dyDescent="0.3"/>
  <cols>
    <col min="5" max="5" width="28.109375" bestFit="1" customWidth="1"/>
    <col min="6" max="6" width="8.88671875" style="48"/>
  </cols>
  <sheetData>
    <row r="1" spans="5:12" x14ac:dyDescent="0.3">
      <c r="E1" s="7" t="s">
        <v>111</v>
      </c>
      <c r="F1" s="46"/>
      <c r="H1" s="72" t="s">
        <v>100</v>
      </c>
      <c r="I1" s="73"/>
      <c r="J1" s="74"/>
      <c r="K1" s="44" t="s">
        <v>112</v>
      </c>
      <c r="L1" s="44"/>
    </row>
    <row r="2" spans="5:12" x14ac:dyDescent="0.3">
      <c r="E2" s="4" t="s">
        <v>1207</v>
      </c>
      <c r="F2" s="47">
        <v>1</v>
      </c>
      <c r="H2" s="4" t="s">
        <v>114</v>
      </c>
      <c r="I2" s="4">
        <v>0</v>
      </c>
      <c r="J2" s="43" t="s">
        <v>1220</v>
      </c>
      <c r="K2" s="8" t="s">
        <v>115</v>
      </c>
      <c r="L2" s="4">
        <v>55</v>
      </c>
    </row>
    <row r="3" spans="5:12" ht="26.4" x14ac:dyDescent="0.3">
      <c r="E3" s="4" t="s">
        <v>1208</v>
      </c>
      <c r="F3" s="47">
        <v>2</v>
      </c>
      <c r="H3" s="4" t="s">
        <v>122</v>
      </c>
      <c r="I3" s="4">
        <v>1</v>
      </c>
      <c r="J3" s="43" t="s">
        <v>1220</v>
      </c>
      <c r="K3" s="8" t="s">
        <v>117</v>
      </c>
      <c r="L3" s="4">
        <v>66</v>
      </c>
    </row>
    <row r="4" spans="5:12" ht="26.4" x14ac:dyDescent="0.3">
      <c r="E4" s="4" t="s">
        <v>1209</v>
      </c>
      <c r="F4" s="47">
        <v>3</v>
      </c>
      <c r="H4" s="4" t="s">
        <v>119</v>
      </c>
      <c r="I4" s="4">
        <v>2</v>
      </c>
      <c r="J4" s="43" t="s">
        <v>1220</v>
      </c>
      <c r="K4" s="8" t="s">
        <v>120</v>
      </c>
      <c r="L4" s="4">
        <v>77</v>
      </c>
    </row>
    <row r="5" spans="5:12" x14ac:dyDescent="0.3">
      <c r="E5" s="4" t="s">
        <v>125</v>
      </c>
      <c r="F5" s="47">
        <v>4</v>
      </c>
      <c r="H5" s="4" t="s">
        <v>124</v>
      </c>
      <c r="I5" s="4">
        <v>10</v>
      </c>
      <c r="J5" s="43" t="s">
        <v>1221</v>
      </c>
    </row>
    <row r="6" spans="5:12" x14ac:dyDescent="0.3">
      <c r="E6" s="4" t="s">
        <v>1210</v>
      </c>
      <c r="F6" s="47">
        <v>5</v>
      </c>
      <c r="H6" s="4" t="s">
        <v>126</v>
      </c>
      <c r="I6" s="4">
        <v>11</v>
      </c>
      <c r="J6" s="43" t="s">
        <v>1221</v>
      </c>
    </row>
    <row r="7" spans="5:12" x14ac:dyDescent="0.3">
      <c r="E7" s="4" t="s">
        <v>121</v>
      </c>
      <c r="F7" s="47">
        <v>6</v>
      </c>
      <c r="H7" s="4" t="s">
        <v>116</v>
      </c>
      <c r="I7" s="4">
        <v>12</v>
      </c>
      <c r="J7" s="43" t="s">
        <v>1221</v>
      </c>
    </row>
    <row r="8" spans="5:12" x14ac:dyDescent="0.3">
      <c r="E8" s="4" t="s">
        <v>128</v>
      </c>
      <c r="F8" s="47">
        <v>7</v>
      </c>
    </row>
    <row r="9" spans="5:12" x14ac:dyDescent="0.3">
      <c r="E9" s="4" t="s">
        <v>1211</v>
      </c>
      <c r="F9" s="47">
        <v>8</v>
      </c>
    </row>
    <row r="10" spans="5:12" x14ac:dyDescent="0.3">
      <c r="E10" s="4" t="s">
        <v>1212</v>
      </c>
      <c r="F10" s="47">
        <v>9</v>
      </c>
    </row>
    <row r="11" spans="5:12" x14ac:dyDescent="0.3">
      <c r="E11" s="4" t="s">
        <v>1213</v>
      </c>
      <c r="F11" s="47">
        <v>11</v>
      </c>
    </row>
    <row r="12" spans="5:12" x14ac:dyDescent="0.3">
      <c r="E12" s="4" t="s">
        <v>1214</v>
      </c>
      <c r="F12" s="47">
        <v>12</v>
      </c>
    </row>
    <row r="13" spans="5:12" x14ac:dyDescent="0.3">
      <c r="E13" s="4" t="s">
        <v>1215</v>
      </c>
      <c r="F13" s="47">
        <v>13</v>
      </c>
    </row>
    <row r="14" spans="5:12" x14ac:dyDescent="0.3">
      <c r="E14" s="4" t="s">
        <v>1216</v>
      </c>
      <c r="F14" s="47">
        <v>14</v>
      </c>
    </row>
    <row r="17" spans="5:5" x14ac:dyDescent="0.3">
      <c r="E17" t="s">
        <v>1206</v>
      </c>
    </row>
    <row r="18" spans="5:5" x14ac:dyDescent="0.3">
      <c r="E18" t="s">
        <v>1194</v>
      </c>
    </row>
    <row r="19" spans="5:5" x14ac:dyDescent="0.3">
      <c r="E19" t="s">
        <v>1195</v>
      </c>
    </row>
    <row r="20" spans="5:5" x14ac:dyDescent="0.3">
      <c r="E20" t="s">
        <v>1196</v>
      </c>
    </row>
    <row r="21" spans="5:5" x14ac:dyDescent="0.3">
      <c r="E21" t="s">
        <v>1197</v>
      </c>
    </row>
    <row r="22" spans="5:5" x14ac:dyDescent="0.3">
      <c r="E22" t="s">
        <v>1198</v>
      </c>
    </row>
    <row r="23" spans="5:5" x14ac:dyDescent="0.3">
      <c r="E23" t="s">
        <v>1199</v>
      </c>
    </row>
    <row r="24" spans="5:5" x14ac:dyDescent="0.3">
      <c r="E24" t="s">
        <v>1200</v>
      </c>
    </row>
    <row r="25" spans="5:5" x14ac:dyDescent="0.3">
      <c r="E25" t="s">
        <v>1201</v>
      </c>
    </row>
    <row r="26" spans="5:5" x14ac:dyDescent="0.3">
      <c r="E26" t="s">
        <v>1202</v>
      </c>
    </row>
    <row r="27" spans="5:5" x14ac:dyDescent="0.3">
      <c r="E27" t="s">
        <v>1203</v>
      </c>
    </row>
    <row r="28" spans="5:5" x14ac:dyDescent="0.3">
      <c r="E28" t="s">
        <v>1204</v>
      </c>
    </row>
    <row r="29" spans="5:5" x14ac:dyDescent="0.3">
      <c r="E29" t="s">
        <v>1205</v>
      </c>
    </row>
  </sheetData>
  <mergeCells count="1">
    <mergeCell ref="H1:J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M633"/>
  <sheetViews>
    <sheetView topLeftCell="A19" workbookViewId="0">
      <selection activeCell="C40" sqref="C40"/>
    </sheetView>
  </sheetViews>
  <sheetFormatPr defaultRowHeight="14.4" x14ac:dyDescent="0.3"/>
  <cols>
    <col min="2" max="2" width="22.5546875" bestFit="1" customWidth="1"/>
    <col min="3" max="3" width="22.109375" customWidth="1"/>
  </cols>
  <sheetData>
    <row r="1" spans="1:13" ht="86.4" x14ac:dyDescent="0.3">
      <c r="A1" s="6" t="s">
        <v>3</v>
      </c>
      <c r="B1" s="6" t="s">
        <v>4</v>
      </c>
      <c r="C1" s="6" t="s">
        <v>55</v>
      </c>
      <c r="F1" s="11" t="s">
        <v>227</v>
      </c>
      <c r="J1" s="21" t="s">
        <v>564</v>
      </c>
      <c r="K1" s="21" t="s">
        <v>565</v>
      </c>
      <c r="L1" s="6" t="s">
        <v>566</v>
      </c>
      <c r="M1" s="21" t="s">
        <v>567</v>
      </c>
    </row>
    <row r="2" spans="1:13" ht="28.8" x14ac:dyDescent="0.3">
      <c r="A2" s="1" t="s">
        <v>56</v>
      </c>
      <c r="B2" s="2" t="s">
        <v>5</v>
      </c>
      <c r="C2" s="2" t="s">
        <v>48</v>
      </c>
      <c r="D2" t="s">
        <v>734</v>
      </c>
      <c r="F2" t="s">
        <v>228</v>
      </c>
      <c r="G2" t="str">
        <f>RIGHT(F2,5)</f>
        <v>AC000</v>
      </c>
      <c r="H2" t="str">
        <f>LEFT(F2,3)</f>
        <v>ACA</v>
      </c>
      <c r="I2" t="str">
        <f>H2&amp;INDEX(A:A,MATCH(G2,J:J,0))</f>
        <v>ACAMCC1</v>
      </c>
      <c r="J2" s="1" t="s">
        <v>568</v>
      </c>
      <c r="K2" s="22" t="s">
        <v>5</v>
      </c>
      <c r="L2" s="22" t="s">
        <v>48</v>
      </c>
      <c r="M2" s="1" t="s">
        <v>568</v>
      </c>
    </row>
    <row r="3" spans="1:13" ht="43.2" x14ac:dyDescent="0.3">
      <c r="A3" s="1" t="s">
        <v>57</v>
      </c>
      <c r="B3" s="2" t="s">
        <v>6</v>
      </c>
      <c r="C3" s="2" t="s">
        <v>48</v>
      </c>
      <c r="D3" t="s">
        <v>734</v>
      </c>
      <c r="F3" t="s">
        <v>229</v>
      </c>
      <c r="G3" t="str">
        <f t="shared" ref="G3:G66" si="0">RIGHT(F3,5)</f>
        <v>VPMCB</v>
      </c>
      <c r="H3" t="str">
        <f t="shared" ref="H3:H66" si="1">LEFT(F3,3)</f>
        <v>ACA</v>
      </c>
      <c r="I3" t="str">
        <f t="shared" ref="I3:I66" si="2">H3&amp;INDEX(A:A,MATCH(G3,J:J,0))</f>
        <v>ACAMCC2</v>
      </c>
      <c r="J3" s="1" t="s">
        <v>569</v>
      </c>
      <c r="K3" s="22" t="s">
        <v>6</v>
      </c>
      <c r="L3" s="22" t="s">
        <v>48</v>
      </c>
      <c r="M3" s="1" t="s">
        <v>569</v>
      </c>
    </row>
    <row r="4" spans="1:13" ht="28.8" x14ac:dyDescent="0.3">
      <c r="A4" s="1" t="s">
        <v>58</v>
      </c>
      <c r="B4" s="2" t="s">
        <v>7</v>
      </c>
      <c r="C4" s="2" t="s">
        <v>48</v>
      </c>
      <c r="D4" t="s">
        <v>734</v>
      </c>
      <c r="F4" t="s">
        <v>230</v>
      </c>
      <c r="G4" t="str">
        <f t="shared" si="0"/>
        <v>VPMCF</v>
      </c>
      <c r="H4" t="str">
        <f t="shared" si="1"/>
        <v>ACA</v>
      </c>
      <c r="I4" t="str">
        <f t="shared" si="2"/>
        <v>ACAMCC3</v>
      </c>
      <c r="J4" s="1" t="s">
        <v>570</v>
      </c>
      <c r="K4" s="22" t="s">
        <v>7</v>
      </c>
      <c r="L4" s="22" t="s">
        <v>48</v>
      </c>
      <c r="M4" s="1" t="s">
        <v>570</v>
      </c>
    </row>
    <row r="5" spans="1:13" ht="57.6" x14ac:dyDescent="0.3">
      <c r="A5" s="1" t="s">
        <v>59</v>
      </c>
      <c r="B5" s="2" t="s">
        <v>8</v>
      </c>
      <c r="C5" s="2" t="s">
        <v>48</v>
      </c>
      <c r="D5" t="s">
        <v>734</v>
      </c>
      <c r="F5" t="s">
        <v>231</v>
      </c>
      <c r="G5" t="str">
        <f t="shared" si="0"/>
        <v>VPMCO</v>
      </c>
      <c r="H5" t="str">
        <f t="shared" si="1"/>
        <v>ACA</v>
      </c>
      <c r="I5" t="str">
        <f t="shared" si="2"/>
        <v>ACAMCC4</v>
      </c>
      <c r="J5" s="1" t="s">
        <v>571</v>
      </c>
      <c r="K5" s="22" t="s">
        <v>8</v>
      </c>
      <c r="L5" s="22" t="s">
        <v>48</v>
      </c>
      <c r="M5" s="1" t="s">
        <v>571</v>
      </c>
    </row>
    <row r="6" spans="1:13" ht="43.2" x14ac:dyDescent="0.3">
      <c r="A6" s="1" t="s">
        <v>60</v>
      </c>
      <c r="B6" s="2" t="s">
        <v>9</v>
      </c>
      <c r="C6" s="2" t="s">
        <v>48</v>
      </c>
      <c r="D6" t="s">
        <v>734</v>
      </c>
      <c r="F6" t="s">
        <v>232</v>
      </c>
      <c r="G6" t="str">
        <f t="shared" si="0"/>
        <v>VPMCP</v>
      </c>
      <c r="H6" t="str">
        <f t="shared" si="1"/>
        <v>ACA</v>
      </c>
      <c r="I6" t="str">
        <f t="shared" si="2"/>
        <v>ACAMCC5</v>
      </c>
      <c r="J6" s="1" t="s">
        <v>572</v>
      </c>
      <c r="K6" s="22" t="s">
        <v>9</v>
      </c>
      <c r="L6" s="22" t="s">
        <v>48</v>
      </c>
      <c r="M6" s="1" t="s">
        <v>572</v>
      </c>
    </row>
    <row r="7" spans="1:13" ht="28.8" x14ac:dyDescent="0.3">
      <c r="A7" s="1" t="s">
        <v>61</v>
      </c>
      <c r="B7" s="2" t="s">
        <v>10</v>
      </c>
      <c r="C7" s="2" t="s">
        <v>48</v>
      </c>
      <c r="D7" t="s">
        <v>734</v>
      </c>
      <c r="F7" t="s">
        <v>233</v>
      </c>
      <c r="G7" t="str">
        <f t="shared" si="0"/>
        <v>ACMCW</v>
      </c>
      <c r="H7" t="str">
        <f t="shared" si="1"/>
        <v>ACA</v>
      </c>
      <c r="I7" t="str">
        <f t="shared" si="2"/>
        <v>ACAMCC6</v>
      </c>
      <c r="J7" s="1" t="s">
        <v>573</v>
      </c>
      <c r="K7" s="22" t="s">
        <v>10</v>
      </c>
      <c r="L7" s="22" t="s">
        <v>48</v>
      </c>
      <c r="M7" s="1" t="s">
        <v>573</v>
      </c>
    </row>
    <row r="8" spans="1:13" ht="28.8" x14ac:dyDescent="0.3">
      <c r="A8" s="1" t="s">
        <v>62</v>
      </c>
      <c r="B8" s="2" t="s">
        <v>11</v>
      </c>
      <c r="C8" s="2" t="s">
        <v>48</v>
      </c>
      <c r="D8" t="s">
        <v>734</v>
      </c>
      <c r="F8" t="s">
        <v>234</v>
      </c>
      <c r="G8" t="str">
        <f t="shared" si="0"/>
        <v>VPMCX</v>
      </c>
      <c r="H8" t="str">
        <f t="shared" si="1"/>
        <v>ACA</v>
      </c>
      <c r="I8" t="str">
        <f t="shared" si="2"/>
        <v>ACAMCD1</v>
      </c>
      <c r="J8" s="1" t="s">
        <v>574</v>
      </c>
      <c r="K8" s="22" t="s">
        <v>11</v>
      </c>
      <c r="L8" s="22" t="s">
        <v>48</v>
      </c>
      <c r="M8" s="1" t="s">
        <v>574</v>
      </c>
    </row>
    <row r="9" spans="1:13" ht="28.8" x14ac:dyDescent="0.3">
      <c r="A9" s="1" t="s">
        <v>63</v>
      </c>
      <c r="B9" s="2" t="s">
        <v>12</v>
      </c>
      <c r="C9" s="2" t="s">
        <v>48</v>
      </c>
      <c r="D9" t="s">
        <v>734</v>
      </c>
      <c r="F9" t="s">
        <v>235</v>
      </c>
      <c r="G9" t="str">
        <f t="shared" si="0"/>
        <v>ACMCY</v>
      </c>
      <c r="H9" t="str">
        <f t="shared" si="1"/>
        <v>ACA</v>
      </c>
      <c r="I9" t="str">
        <f t="shared" si="2"/>
        <v>ACAMCD2</v>
      </c>
      <c r="J9" s="1" t="s">
        <v>575</v>
      </c>
      <c r="K9" s="22" t="s">
        <v>12</v>
      </c>
      <c r="L9" s="22" t="s">
        <v>48</v>
      </c>
      <c r="M9" s="1" t="s">
        <v>575</v>
      </c>
    </row>
    <row r="10" spans="1:13" ht="28.8" x14ac:dyDescent="0.3">
      <c r="A10" s="1" t="s">
        <v>64</v>
      </c>
      <c r="B10" s="2" t="s">
        <v>5</v>
      </c>
      <c r="C10" s="2" t="s">
        <v>48</v>
      </c>
      <c r="D10" t="s">
        <v>734</v>
      </c>
      <c r="F10" t="s">
        <v>236</v>
      </c>
      <c r="G10" t="str">
        <f t="shared" si="0"/>
        <v>ACMNW</v>
      </c>
      <c r="H10" t="str">
        <f t="shared" si="1"/>
        <v>ACA</v>
      </c>
      <c r="I10" t="str">
        <f t="shared" si="2"/>
        <v>ACAMCC7</v>
      </c>
      <c r="J10" s="1" t="s">
        <v>568</v>
      </c>
      <c r="K10" s="23" t="s">
        <v>5</v>
      </c>
      <c r="L10" s="23" t="s">
        <v>48</v>
      </c>
      <c r="M10" s="1" t="s">
        <v>568</v>
      </c>
    </row>
    <row r="11" spans="1:13" ht="43.2" x14ac:dyDescent="0.3">
      <c r="A11" s="1" t="s">
        <v>65</v>
      </c>
      <c r="B11" s="2" t="s">
        <v>13</v>
      </c>
      <c r="C11" s="2" t="s">
        <v>49</v>
      </c>
      <c r="D11" t="s">
        <v>1217</v>
      </c>
      <c r="F11" t="s">
        <v>237</v>
      </c>
      <c r="G11" t="str">
        <f t="shared" si="0"/>
        <v>BC000</v>
      </c>
      <c r="H11" t="str">
        <f t="shared" si="1"/>
        <v>ACA</v>
      </c>
      <c r="I11" t="str">
        <f t="shared" si="2"/>
        <v>ACAVIC2</v>
      </c>
      <c r="J11" s="1" t="s">
        <v>576</v>
      </c>
      <c r="K11" s="22" t="s">
        <v>13</v>
      </c>
      <c r="L11" s="22" t="s">
        <v>49</v>
      </c>
      <c r="M11" s="1" t="s">
        <v>576</v>
      </c>
    </row>
    <row r="12" spans="1:13" ht="43.2" x14ac:dyDescent="0.3">
      <c r="A12" s="1" t="s">
        <v>66</v>
      </c>
      <c r="B12" s="2" t="s">
        <v>14</v>
      </c>
      <c r="C12" s="2" t="s">
        <v>49</v>
      </c>
      <c r="D12" t="s">
        <v>1217</v>
      </c>
      <c r="F12" t="s">
        <v>238</v>
      </c>
      <c r="G12" t="str">
        <f t="shared" si="0"/>
        <v>VPVIB</v>
      </c>
      <c r="H12" t="str">
        <f t="shared" si="1"/>
        <v>ACA</v>
      </c>
      <c r="I12" t="str">
        <f t="shared" si="2"/>
        <v>ACAVIC3</v>
      </c>
      <c r="J12" s="1" t="s">
        <v>577</v>
      </c>
      <c r="K12" s="22" t="s">
        <v>14</v>
      </c>
      <c r="L12" s="22" t="s">
        <v>49</v>
      </c>
      <c r="M12" s="1" t="s">
        <v>577</v>
      </c>
    </row>
    <row r="13" spans="1:13" ht="43.2" x14ac:dyDescent="0.3">
      <c r="A13" s="1" t="s">
        <v>67</v>
      </c>
      <c r="B13" s="2" t="s">
        <v>15</v>
      </c>
      <c r="C13" s="2" t="s">
        <v>49</v>
      </c>
      <c r="D13" t="s">
        <v>1217</v>
      </c>
      <c r="F13" t="s">
        <v>239</v>
      </c>
      <c r="G13" t="str">
        <f t="shared" si="0"/>
        <v>VPVID</v>
      </c>
      <c r="H13" t="str">
        <f t="shared" si="1"/>
        <v>ACA</v>
      </c>
      <c r="I13" t="str">
        <f t="shared" si="2"/>
        <v>ACAVIC4</v>
      </c>
      <c r="J13" s="1" t="s">
        <v>578</v>
      </c>
      <c r="K13" s="22" t="s">
        <v>15</v>
      </c>
      <c r="L13" s="22" t="s">
        <v>49</v>
      </c>
      <c r="M13" s="1" t="s">
        <v>578</v>
      </c>
    </row>
    <row r="14" spans="1:13" ht="43.2" x14ac:dyDescent="0.3">
      <c r="A14" s="1" t="s">
        <v>68</v>
      </c>
      <c r="B14" s="2" t="s">
        <v>16</v>
      </c>
      <c r="C14" s="2" t="s">
        <v>49</v>
      </c>
      <c r="D14" t="s">
        <v>1217</v>
      </c>
      <c r="F14" t="s">
        <v>240</v>
      </c>
      <c r="G14" t="str">
        <f t="shared" si="0"/>
        <v>VPVIR</v>
      </c>
      <c r="H14" t="str">
        <f t="shared" si="1"/>
        <v>ACA</v>
      </c>
      <c r="I14" t="str">
        <f t="shared" si="2"/>
        <v>ACAVIC5</v>
      </c>
      <c r="J14" s="1" t="s">
        <v>579</v>
      </c>
      <c r="K14" s="22" t="s">
        <v>16</v>
      </c>
      <c r="L14" s="22" t="s">
        <v>49</v>
      </c>
      <c r="M14" s="1" t="s">
        <v>578</v>
      </c>
    </row>
    <row r="15" spans="1:13" ht="28.8" x14ac:dyDescent="0.3">
      <c r="A15" s="1" t="s">
        <v>69</v>
      </c>
      <c r="B15" s="3" t="s">
        <v>17</v>
      </c>
      <c r="C15" s="2" t="s">
        <v>49</v>
      </c>
      <c r="D15" t="s">
        <v>1217</v>
      </c>
      <c r="F15" t="s">
        <v>241</v>
      </c>
      <c r="G15" t="str">
        <f t="shared" si="0"/>
        <v>VPVIS</v>
      </c>
      <c r="H15" t="str">
        <f t="shared" si="1"/>
        <v>ACA</v>
      </c>
      <c r="I15" t="str">
        <f t="shared" si="2"/>
        <v>ACAVIC6</v>
      </c>
      <c r="J15" s="1" t="s">
        <v>580</v>
      </c>
      <c r="K15" s="16" t="s">
        <v>17</v>
      </c>
      <c r="L15" s="22" t="s">
        <v>49</v>
      </c>
      <c r="M15" s="1" t="s">
        <v>580</v>
      </c>
    </row>
    <row r="16" spans="1:13" ht="57.6" x14ac:dyDescent="0.3">
      <c r="A16" s="1" t="s">
        <v>70</v>
      </c>
      <c r="B16" s="2" t="s">
        <v>18</v>
      </c>
      <c r="C16" s="2" t="s">
        <v>49</v>
      </c>
      <c r="D16" t="s">
        <v>1217</v>
      </c>
      <c r="F16" t="s">
        <v>242</v>
      </c>
      <c r="G16" t="str">
        <f t="shared" si="0"/>
        <v>VPVIX</v>
      </c>
      <c r="H16" t="str">
        <f t="shared" si="1"/>
        <v>ACA</v>
      </c>
      <c r="I16" t="str">
        <f t="shared" si="2"/>
        <v>ACAVID4</v>
      </c>
      <c r="J16" s="1" t="s">
        <v>581</v>
      </c>
      <c r="K16" s="2" t="s">
        <v>18</v>
      </c>
      <c r="L16" s="22" t="s">
        <v>49</v>
      </c>
      <c r="M16" s="24" t="s">
        <v>581</v>
      </c>
    </row>
    <row r="17" spans="1:13" ht="28.8" x14ac:dyDescent="0.3">
      <c r="A17" s="1" t="s">
        <v>71</v>
      </c>
      <c r="B17" s="2" t="s">
        <v>19</v>
      </c>
      <c r="C17" s="2" t="s">
        <v>49</v>
      </c>
      <c r="D17" t="s">
        <v>1217</v>
      </c>
      <c r="F17" t="s">
        <v>243</v>
      </c>
      <c r="G17" t="str">
        <f t="shared" si="0"/>
        <v>DC000</v>
      </c>
      <c r="H17" t="str">
        <f t="shared" si="1"/>
        <v>ACA</v>
      </c>
      <c r="I17" t="str">
        <f t="shared" si="2"/>
        <v>ACADCD</v>
      </c>
      <c r="J17" s="1" t="s">
        <v>582</v>
      </c>
      <c r="K17" s="25" t="s">
        <v>19</v>
      </c>
      <c r="L17" s="25" t="s">
        <v>49</v>
      </c>
      <c r="M17" s="26" t="s">
        <v>581</v>
      </c>
    </row>
    <row r="18" spans="1:13" ht="28.8" x14ac:dyDescent="0.3">
      <c r="A18" s="1" t="s">
        <v>72</v>
      </c>
      <c r="B18" s="3" t="s">
        <v>20</v>
      </c>
      <c r="C18" s="2" t="s">
        <v>49</v>
      </c>
      <c r="D18" t="s">
        <v>1217</v>
      </c>
      <c r="F18" t="s">
        <v>244</v>
      </c>
      <c r="G18" t="str">
        <f t="shared" si="0"/>
        <v>DE000</v>
      </c>
      <c r="H18" t="str">
        <f t="shared" si="1"/>
        <v>ACA</v>
      </c>
      <c r="I18" t="str">
        <f t="shared" si="2"/>
        <v>ACAVID1</v>
      </c>
      <c r="J18" s="24" t="s">
        <v>583</v>
      </c>
      <c r="K18" s="3" t="s">
        <v>20</v>
      </c>
      <c r="L18" s="22" t="s">
        <v>49</v>
      </c>
      <c r="M18" s="1" t="s">
        <v>584</v>
      </c>
    </row>
    <row r="19" spans="1:13" ht="28.8" x14ac:dyDescent="0.3">
      <c r="A19" s="1" t="s">
        <v>73</v>
      </c>
      <c r="B19" s="2" t="s">
        <v>21</v>
      </c>
      <c r="C19" s="2" t="s">
        <v>49</v>
      </c>
      <c r="D19" t="s">
        <v>1217</v>
      </c>
      <c r="F19" t="s">
        <v>245</v>
      </c>
      <c r="G19" t="str">
        <f t="shared" si="0"/>
        <v>DM000</v>
      </c>
      <c r="H19" t="str">
        <f t="shared" si="1"/>
        <v>ACA</v>
      </c>
      <c r="I19" t="str">
        <f t="shared" si="2"/>
        <v>ACAMCD3</v>
      </c>
      <c r="J19" s="1" t="s">
        <v>585</v>
      </c>
      <c r="K19" s="25" t="s">
        <v>21</v>
      </c>
      <c r="L19" s="25" t="s">
        <v>49</v>
      </c>
      <c r="M19" s="26" t="s">
        <v>584</v>
      </c>
    </row>
    <row r="20" spans="1:13" ht="28.8" x14ac:dyDescent="0.3">
      <c r="A20" s="1" t="s">
        <v>74</v>
      </c>
      <c r="B20" s="3" t="s">
        <v>17</v>
      </c>
      <c r="C20" s="2" t="s">
        <v>49</v>
      </c>
      <c r="D20" t="s">
        <v>1217</v>
      </c>
      <c r="F20" s="31" t="s">
        <v>246</v>
      </c>
      <c r="G20" t="str">
        <f t="shared" si="0"/>
        <v>PMDOM</v>
      </c>
      <c r="H20" t="str">
        <f t="shared" si="1"/>
        <v>ACA</v>
      </c>
      <c r="I20" t="str">
        <f t="shared" si="2"/>
        <v>ACAMCD8</v>
      </c>
      <c r="J20" s="27" t="s">
        <v>580</v>
      </c>
      <c r="K20" s="16" t="s">
        <v>17</v>
      </c>
      <c r="L20" s="23" t="s">
        <v>49</v>
      </c>
      <c r="M20" s="27" t="s">
        <v>580</v>
      </c>
    </row>
    <row r="21" spans="1:13" x14ac:dyDescent="0.3">
      <c r="A21" s="1" t="s">
        <v>75</v>
      </c>
      <c r="B21" s="3" t="s">
        <v>22</v>
      </c>
      <c r="C21" s="3" t="s">
        <v>50</v>
      </c>
      <c r="D21" t="s">
        <v>1218</v>
      </c>
      <c r="F21" t="s">
        <v>247</v>
      </c>
      <c r="G21" t="str">
        <f t="shared" si="0"/>
        <v>JC000</v>
      </c>
      <c r="H21" t="str">
        <f t="shared" si="1"/>
        <v>ACA</v>
      </c>
      <c r="I21" t="str">
        <f t="shared" si="2"/>
        <v>ACAJCB</v>
      </c>
      <c r="J21" s="1" t="s">
        <v>586</v>
      </c>
      <c r="K21" s="16" t="s">
        <v>22</v>
      </c>
      <c r="L21" s="16" t="s">
        <v>50</v>
      </c>
      <c r="M21" s="1" t="s">
        <v>586</v>
      </c>
    </row>
    <row r="22" spans="1:13" ht="43.2" x14ac:dyDescent="0.3">
      <c r="A22" s="1" t="s">
        <v>76</v>
      </c>
      <c r="B22" s="2" t="s">
        <v>23</v>
      </c>
      <c r="C22" s="2" t="s">
        <v>51</v>
      </c>
      <c r="D22" t="s">
        <v>1218</v>
      </c>
      <c r="F22" t="s">
        <v>248</v>
      </c>
      <c r="G22" t="str">
        <f t="shared" si="0"/>
        <v>PE000</v>
      </c>
      <c r="H22" t="str">
        <f t="shared" si="1"/>
        <v>ACA</v>
      </c>
      <c r="I22" t="str">
        <f t="shared" si="2"/>
        <v>ACAVID5</v>
      </c>
      <c r="J22" s="1" t="s">
        <v>587</v>
      </c>
      <c r="K22" s="22" t="s">
        <v>23</v>
      </c>
      <c r="L22" s="22" t="s">
        <v>51</v>
      </c>
      <c r="M22" s="1" t="s">
        <v>587</v>
      </c>
    </row>
    <row r="23" spans="1:13" ht="28.8" x14ac:dyDescent="0.3">
      <c r="A23" s="1" t="s">
        <v>77</v>
      </c>
      <c r="B23" s="2" t="s">
        <v>24</v>
      </c>
      <c r="C23" s="2" t="s">
        <v>51</v>
      </c>
      <c r="D23" t="s">
        <v>1218</v>
      </c>
      <c r="F23" t="s">
        <v>249</v>
      </c>
      <c r="G23" t="str">
        <f t="shared" si="0"/>
        <v>AC000</v>
      </c>
      <c r="H23" t="str">
        <f t="shared" si="1"/>
        <v>AOC</v>
      </c>
      <c r="I23" t="str">
        <f t="shared" si="2"/>
        <v>AOCMCC1</v>
      </c>
      <c r="J23" s="1" t="s">
        <v>588</v>
      </c>
      <c r="K23" s="22" t="s">
        <v>24</v>
      </c>
      <c r="L23" s="22" t="s">
        <v>51</v>
      </c>
      <c r="M23" s="1" t="s">
        <v>588</v>
      </c>
    </row>
    <row r="24" spans="1:13" ht="43.2" x14ac:dyDescent="0.3">
      <c r="A24" s="1" t="s">
        <v>78</v>
      </c>
      <c r="B24" s="2" t="s">
        <v>25</v>
      </c>
      <c r="C24" s="2" t="s">
        <v>51</v>
      </c>
      <c r="D24" t="s">
        <v>1218</v>
      </c>
      <c r="F24" t="s">
        <v>250</v>
      </c>
      <c r="G24" t="str">
        <f t="shared" si="0"/>
        <v>VPMCB</v>
      </c>
      <c r="H24" t="str">
        <f t="shared" si="1"/>
        <v>AOC</v>
      </c>
      <c r="I24" t="str">
        <f t="shared" si="2"/>
        <v>AOCMCC2</v>
      </c>
      <c r="J24" s="1" t="s">
        <v>589</v>
      </c>
      <c r="K24" s="22" t="s">
        <v>25</v>
      </c>
      <c r="L24" s="22" t="s">
        <v>51</v>
      </c>
      <c r="M24" s="1" t="s">
        <v>589</v>
      </c>
    </row>
    <row r="25" spans="1:13" ht="43.2" x14ac:dyDescent="0.3">
      <c r="A25" s="1" t="s">
        <v>79</v>
      </c>
      <c r="B25" s="2" t="s">
        <v>26</v>
      </c>
      <c r="C25" s="2" t="s">
        <v>51</v>
      </c>
      <c r="D25" t="s">
        <v>1218</v>
      </c>
      <c r="F25" t="s">
        <v>251</v>
      </c>
      <c r="G25" t="str">
        <f t="shared" si="0"/>
        <v>VPMCF</v>
      </c>
      <c r="H25" t="str">
        <f t="shared" si="1"/>
        <v>AOC</v>
      </c>
      <c r="I25" t="str">
        <f t="shared" si="2"/>
        <v>AOCMCC3</v>
      </c>
      <c r="J25" s="1" t="s">
        <v>590</v>
      </c>
      <c r="K25" s="22" t="s">
        <v>26</v>
      </c>
      <c r="L25" s="22" t="s">
        <v>51</v>
      </c>
      <c r="M25" s="1" t="s">
        <v>590</v>
      </c>
    </row>
    <row r="26" spans="1:13" ht="43.2" x14ac:dyDescent="0.3">
      <c r="A26" s="1" t="s">
        <v>80</v>
      </c>
      <c r="B26" s="2" t="s">
        <v>27</v>
      </c>
      <c r="C26" s="2" t="s">
        <v>51</v>
      </c>
      <c r="D26" t="s">
        <v>1218</v>
      </c>
      <c r="F26" t="s">
        <v>252</v>
      </c>
      <c r="G26" t="str">
        <f t="shared" si="0"/>
        <v>VPMCO</v>
      </c>
      <c r="H26" t="str">
        <f t="shared" si="1"/>
        <v>AOC</v>
      </c>
      <c r="I26" t="str">
        <f t="shared" si="2"/>
        <v>AOCMCC4</v>
      </c>
      <c r="J26" s="1" t="s">
        <v>591</v>
      </c>
      <c r="K26" s="22" t="s">
        <v>27</v>
      </c>
      <c r="L26" s="22" t="s">
        <v>51</v>
      </c>
      <c r="M26" s="1" t="s">
        <v>591</v>
      </c>
    </row>
    <row r="27" spans="1:13" ht="43.2" x14ac:dyDescent="0.3">
      <c r="A27" s="1" t="s">
        <v>81</v>
      </c>
      <c r="B27" s="2" t="s">
        <v>28</v>
      </c>
      <c r="C27" s="2" t="s">
        <v>51</v>
      </c>
      <c r="D27" t="s">
        <v>1218</v>
      </c>
      <c r="F27" t="s">
        <v>253</v>
      </c>
      <c r="G27" t="str">
        <f t="shared" si="0"/>
        <v>VPMCP</v>
      </c>
      <c r="H27" t="str">
        <f t="shared" si="1"/>
        <v>AOC</v>
      </c>
      <c r="I27" t="str">
        <f t="shared" si="2"/>
        <v>AOCMCC5</v>
      </c>
      <c r="J27" s="1" t="s">
        <v>586</v>
      </c>
      <c r="K27" s="22" t="s">
        <v>28</v>
      </c>
      <c r="L27" s="22" t="s">
        <v>51</v>
      </c>
      <c r="M27" s="1" t="s">
        <v>586</v>
      </c>
    </row>
    <row r="28" spans="1:13" ht="28.8" x14ac:dyDescent="0.3">
      <c r="A28" s="1" t="s">
        <v>82</v>
      </c>
      <c r="B28" s="2" t="s">
        <v>29</v>
      </c>
      <c r="C28" s="2" t="s">
        <v>52</v>
      </c>
      <c r="D28" t="s">
        <v>1219</v>
      </c>
      <c r="F28" t="s">
        <v>254</v>
      </c>
      <c r="G28" t="str">
        <f t="shared" si="0"/>
        <v>ACMCW</v>
      </c>
      <c r="H28" t="str">
        <f t="shared" si="1"/>
        <v>AOC</v>
      </c>
      <c r="I28" t="str">
        <f t="shared" si="2"/>
        <v>AOCMCC6</v>
      </c>
      <c r="J28" s="1" t="s">
        <v>592</v>
      </c>
      <c r="K28" s="22" t="s">
        <v>29</v>
      </c>
      <c r="L28" s="22" t="s">
        <v>52</v>
      </c>
      <c r="M28" s="1" t="s">
        <v>592</v>
      </c>
    </row>
    <row r="29" spans="1:13" ht="28.8" x14ac:dyDescent="0.3">
      <c r="A29" s="1" t="s">
        <v>83</v>
      </c>
      <c r="B29" s="2" t="s">
        <v>30</v>
      </c>
      <c r="C29" s="2" t="s">
        <v>52</v>
      </c>
      <c r="D29" t="s">
        <v>1219</v>
      </c>
      <c r="F29" t="s">
        <v>255</v>
      </c>
      <c r="G29" t="str">
        <f t="shared" si="0"/>
        <v>VPMCX</v>
      </c>
      <c r="H29" t="str">
        <f t="shared" si="1"/>
        <v>AOC</v>
      </c>
      <c r="I29" t="str">
        <f t="shared" si="2"/>
        <v>AOCMCD1</v>
      </c>
      <c r="J29" s="1" t="s">
        <v>593</v>
      </c>
      <c r="K29" s="25" t="s">
        <v>30</v>
      </c>
      <c r="L29" s="25" t="s">
        <v>52</v>
      </c>
      <c r="M29" s="26" t="s">
        <v>592</v>
      </c>
    </row>
    <row r="30" spans="1:13" ht="43.2" x14ac:dyDescent="0.3">
      <c r="A30" s="1" t="s">
        <v>84</v>
      </c>
      <c r="B30" s="2" t="s">
        <v>31</v>
      </c>
      <c r="C30" s="2" t="s">
        <v>52</v>
      </c>
      <c r="D30" t="s">
        <v>1219</v>
      </c>
      <c r="F30" t="s">
        <v>256</v>
      </c>
      <c r="G30" t="str">
        <f t="shared" si="0"/>
        <v>ACMCY</v>
      </c>
      <c r="H30" t="str">
        <f t="shared" si="1"/>
        <v>AOC</v>
      </c>
      <c r="I30" t="str">
        <f t="shared" si="2"/>
        <v>AOCMCD2</v>
      </c>
      <c r="J30" s="1" t="s">
        <v>594</v>
      </c>
      <c r="K30" s="22" t="s">
        <v>31</v>
      </c>
      <c r="L30" s="22" t="s">
        <v>52</v>
      </c>
      <c r="M30" s="1" t="s">
        <v>594</v>
      </c>
    </row>
    <row r="31" spans="1:13" ht="28.8" x14ac:dyDescent="0.3">
      <c r="A31" s="1" t="s">
        <v>85</v>
      </c>
      <c r="B31" s="2" t="s">
        <v>32</v>
      </c>
      <c r="C31" s="2" t="s">
        <v>52</v>
      </c>
      <c r="D31" t="s">
        <v>1219</v>
      </c>
      <c r="F31" t="s">
        <v>257</v>
      </c>
      <c r="G31" t="str">
        <f t="shared" si="0"/>
        <v>ACMNW</v>
      </c>
      <c r="H31" t="str">
        <f t="shared" si="1"/>
        <v>AOC</v>
      </c>
      <c r="I31" t="str">
        <f t="shared" si="2"/>
        <v>AOCMCC7</v>
      </c>
      <c r="J31" s="28" t="s">
        <v>595</v>
      </c>
      <c r="K31" s="25" t="s">
        <v>32</v>
      </c>
      <c r="L31" s="25" t="s">
        <v>52</v>
      </c>
      <c r="M31" s="26" t="s">
        <v>594</v>
      </c>
    </row>
    <row r="32" spans="1:13" ht="28.8" x14ac:dyDescent="0.3">
      <c r="A32" s="1" t="s">
        <v>86</v>
      </c>
      <c r="B32" s="2" t="s">
        <v>33</v>
      </c>
      <c r="C32" s="2" t="s">
        <v>52</v>
      </c>
      <c r="D32" t="s">
        <v>1219</v>
      </c>
      <c r="F32" t="s">
        <v>258</v>
      </c>
      <c r="G32" t="str">
        <f t="shared" si="0"/>
        <v>BC000</v>
      </c>
      <c r="H32" t="str">
        <f t="shared" si="1"/>
        <v>AOC</v>
      </c>
      <c r="I32" t="str">
        <f t="shared" si="2"/>
        <v>AOCVIC2</v>
      </c>
      <c r="J32" s="1" t="s">
        <v>596</v>
      </c>
      <c r="K32" s="22" t="s">
        <v>33</v>
      </c>
      <c r="L32" s="22" t="s">
        <v>52</v>
      </c>
      <c r="M32" s="1" t="s">
        <v>596</v>
      </c>
    </row>
    <row r="33" spans="1:13" ht="28.8" x14ac:dyDescent="0.3">
      <c r="A33" s="1" t="s">
        <v>87</v>
      </c>
      <c r="B33" s="2" t="s">
        <v>34</v>
      </c>
      <c r="C33" s="2" t="s">
        <v>52</v>
      </c>
      <c r="D33" t="s">
        <v>1219</v>
      </c>
      <c r="F33" t="s">
        <v>259</v>
      </c>
      <c r="G33" t="str">
        <f t="shared" si="0"/>
        <v>VPVIB</v>
      </c>
      <c r="H33" t="str">
        <f t="shared" si="1"/>
        <v>AOC</v>
      </c>
      <c r="I33" t="str">
        <f t="shared" si="2"/>
        <v>AOCVIC3</v>
      </c>
      <c r="J33" s="1" t="s">
        <v>597</v>
      </c>
      <c r="K33" s="25" t="s">
        <v>34</v>
      </c>
      <c r="L33" s="25" t="s">
        <v>52</v>
      </c>
      <c r="M33" s="1" t="s">
        <v>597</v>
      </c>
    </row>
    <row r="34" spans="1:13" x14ac:dyDescent="0.3">
      <c r="A34" s="1" t="s">
        <v>88</v>
      </c>
      <c r="B34" s="3" t="s">
        <v>35</v>
      </c>
      <c r="C34" s="3"/>
      <c r="F34" t="s">
        <v>260</v>
      </c>
      <c r="G34" t="str">
        <f t="shared" si="0"/>
        <v>VPVID</v>
      </c>
      <c r="H34" t="str">
        <f t="shared" si="1"/>
        <v>AOC</v>
      </c>
      <c r="I34" t="str">
        <f t="shared" si="2"/>
        <v>AOCVIC4</v>
      </c>
      <c r="J34" s="1" t="s">
        <v>598</v>
      </c>
      <c r="K34" s="4" t="s">
        <v>35</v>
      </c>
      <c r="L34" s="4"/>
      <c r="M34" s="1" t="s">
        <v>598</v>
      </c>
    </row>
    <row r="35" spans="1:13" x14ac:dyDescent="0.3">
      <c r="A35" s="1" t="s">
        <v>53</v>
      </c>
      <c r="B35" s="3" t="s">
        <v>36</v>
      </c>
      <c r="C35" s="3" t="s">
        <v>53</v>
      </c>
      <c r="F35" t="s">
        <v>261</v>
      </c>
      <c r="G35" t="str">
        <f t="shared" si="0"/>
        <v>VPVIR</v>
      </c>
      <c r="H35" t="str">
        <f t="shared" si="1"/>
        <v>AOC</v>
      </c>
      <c r="I35" t="str">
        <f t="shared" si="2"/>
        <v>AOCVIC5</v>
      </c>
      <c r="J35" s="1" t="s">
        <v>599</v>
      </c>
      <c r="K35" s="4" t="s">
        <v>36</v>
      </c>
      <c r="L35" s="4" t="s">
        <v>53</v>
      </c>
      <c r="M35" s="1" t="s">
        <v>599</v>
      </c>
    </row>
    <row r="36" spans="1:13" x14ac:dyDescent="0.3">
      <c r="A36" s="5" t="s">
        <v>89</v>
      </c>
      <c r="B36" s="3" t="s">
        <v>37</v>
      </c>
      <c r="C36" s="3" t="s">
        <v>54</v>
      </c>
      <c r="F36" t="s">
        <v>262</v>
      </c>
      <c r="G36" t="str">
        <f t="shared" si="0"/>
        <v>VPVIS</v>
      </c>
      <c r="H36" t="str">
        <f t="shared" si="1"/>
        <v>AOC</v>
      </c>
      <c r="I36" t="str">
        <f t="shared" si="2"/>
        <v>AOCVIC6</v>
      </c>
      <c r="J36" s="5" t="s">
        <v>600</v>
      </c>
      <c r="K36" s="4" t="s">
        <v>37</v>
      </c>
      <c r="L36" s="4" t="s">
        <v>54</v>
      </c>
      <c r="M36" s="5" t="s">
        <v>600</v>
      </c>
    </row>
    <row r="37" spans="1:13" x14ac:dyDescent="0.3">
      <c r="A37" s="5" t="s">
        <v>90</v>
      </c>
      <c r="B37" s="3" t="s">
        <v>38</v>
      </c>
      <c r="C37" s="3" t="s">
        <v>54</v>
      </c>
      <c r="F37" t="s">
        <v>263</v>
      </c>
      <c r="G37" t="str">
        <f t="shared" si="0"/>
        <v>VPVIX</v>
      </c>
      <c r="H37" t="str">
        <f t="shared" si="1"/>
        <v>AOC</v>
      </c>
      <c r="I37" t="str">
        <f t="shared" si="2"/>
        <v>AOCVID4</v>
      </c>
      <c r="J37" s="5" t="b">
        <v>0</v>
      </c>
      <c r="K37" s="16" t="s">
        <v>38</v>
      </c>
      <c r="L37" s="16" t="s">
        <v>54</v>
      </c>
      <c r="M37" s="29" t="s">
        <v>600</v>
      </c>
    </row>
    <row r="38" spans="1:13" x14ac:dyDescent="0.3">
      <c r="A38" s="5" t="s">
        <v>91</v>
      </c>
      <c r="B38" s="3" t="s">
        <v>39</v>
      </c>
      <c r="C38" s="3" t="s">
        <v>54</v>
      </c>
      <c r="F38" s="4" t="s">
        <v>264</v>
      </c>
      <c r="G38" t="str">
        <f t="shared" si="0"/>
        <v>DC000</v>
      </c>
      <c r="H38" t="str">
        <f t="shared" si="1"/>
        <v>AOC</v>
      </c>
      <c r="I38" t="str">
        <f t="shared" si="2"/>
        <v>AOCDCD</v>
      </c>
      <c r="J38" s="5" t="b">
        <v>0</v>
      </c>
      <c r="K38" s="16" t="s">
        <v>39</v>
      </c>
      <c r="L38" s="16" t="s">
        <v>54</v>
      </c>
      <c r="M38" s="29" t="s">
        <v>600</v>
      </c>
    </row>
    <row r="39" spans="1:13" x14ac:dyDescent="0.3">
      <c r="A39" s="5" t="s">
        <v>92</v>
      </c>
      <c r="B39" s="3" t="s">
        <v>40</v>
      </c>
      <c r="C39" s="3" t="s">
        <v>54</v>
      </c>
      <c r="F39" s="4" t="s">
        <v>265</v>
      </c>
      <c r="G39" t="str">
        <f t="shared" si="0"/>
        <v>DE000</v>
      </c>
      <c r="H39" t="str">
        <f t="shared" si="1"/>
        <v>AOC</v>
      </c>
      <c r="I39" t="str">
        <f t="shared" si="2"/>
        <v>AOCVID1</v>
      </c>
      <c r="J39" s="5" t="b">
        <v>0</v>
      </c>
      <c r="K39" s="16" t="s">
        <v>40</v>
      </c>
      <c r="L39" s="16" t="s">
        <v>54</v>
      </c>
      <c r="M39" s="29" t="s">
        <v>600</v>
      </c>
    </row>
    <row r="40" spans="1:13" x14ac:dyDescent="0.3">
      <c r="A40" s="5" t="s">
        <v>93</v>
      </c>
      <c r="B40" s="3" t="s">
        <v>41</v>
      </c>
      <c r="C40" s="3" t="s">
        <v>41</v>
      </c>
      <c r="F40" t="s">
        <v>266</v>
      </c>
      <c r="G40" t="str">
        <f t="shared" si="0"/>
        <v>DM000</v>
      </c>
      <c r="H40" t="str">
        <f t="shared" si="1"/>
        <v>AOC</v>
      </c>
      <c r="I40" t="str">
        <f t="shared" si="2"/>
        <v>AOCMCD3</v>
      </c>
      <c r="J40" s="5" t="s">
        <v>601</v>
      </c>
      <c r="K40" s="4" t="s">
        <v>41</v>
      </c>
      <c r="L40" s="4" t="s">
        <v>41</v>
      </c>
      <c r="M40" s="5" t="s">
        <v>601</v>
      </c>
    </row>
    <row r="41" spans="1:13" x14ac:dyDescent="0.3">
      <c r="A41" s="5" t="s">
        <v>42</v>
      </c>
      <c r="B41" s="3" t="s">
        <v>42</v>
      </c>
      <c r="C41" s="3" t="s">
        <v>42</v>
      </c>
      <c r="F41" t="s">
        <v>267</v>
      </c>
      <c r="G41" t="str">
        <f t="shared" si="0"/>
        <v>PMDOM</v>
      </c>
      <c r="H41" t="str">
        <f t="shared" si="1"/>
        <v>AOC</v>
      </c>
      <c r="I41" t="str">
        <f t="shared" si="2"/>
        <v>AOCMCD8</v>
      </c>
      <c r="J41" s="5" t="s">
        <v>602</v>
      </c>
      <c r="K41" s="4" t="s">
        <v>42</v>
      </c>
      <c r="L41" s="4" t="s">
        <v>42</v>
      </c>
      <c r="M41" s="5" t="s">
        <v>602</v>
      </c>
    </row>
    <row r="42" spans="1:13" x14ac:dyDescent="0.3">
      <c r="A42" s="5" t="s">
        <v>94</v>
      </c>
      <c r="B42" s="3" t="s">
        <v>43</v>
      </c>
      <c r="C42" s="3" t="s">
        <v>42</v>
      </c>
      <c r="F42" t="s">
        <v>268</v>
      </c>
      <c r="G42" t="str">
        <f t="shared" si="0"/>
        <v>JC000</v>
      </c>
      <c r="H42" t="str">
        <f t="shared" si="1"/>
        <v>AOC</v>
      </c>
      <c r="I42" t="str">
        <f t="shared" si="2"/>
        <v>AOCJCB</v>
      </c>
      <c r="J42" s="5" t="b">
        <v>0</v>
      </c>
      <c r="K42" s="16" t="s">
        <v>43</v>
      </c>
      <c r="L42" s="16" t="s">
        <v>42</v>
      </c>
      <c r="M42" s="29" t="s">
        <v>602</v>
      </c>
    </row>
    <row r="43" spans="1:13" x14ac:dyDescent="0.3">
      <c r="A43" s="5" t="s">
        <v>95</v>
      </c>
      <c r="B43" s="3" t="s">
        <v>44</v>
      </c>
      <c r="C43" s="3" t="s">
        <v>42</v>
      </c>
      <c r="F43" t="s">
        <v>269</v>
      </c>
      <c r="G43" t="str">
        <f t="shared" si="0"/>
        <v>PE000</v>
      </c>
      <c r="H43" t="str">
        <f t="shared" si="1"/>
        <v>AOC</v>
      </c>
      <c r="I43" t="str">
        <f t="shared" si="2"/>
        <v>AOCVID5</v>
      </c>
      <c r="J43" s="5" t="b">
        <v>0</v>
      </c>
      <c r="K43" s="16" t="s">
        <v>44</v>
      </c>
      <c r="L43" s="16" t="s">
        <v>42</v>
      </c>
      <c r="M43" s="29" t="s">
        <v>602</v>
      </c>
    </row>
    <row r="44" spans="1:13" x14ac:dyDescent="0.3">
      <c r="A44" s="5" t="s">
        <v>96</v>
      </c>
      <c r="B44" s="3" t="s">
        <v>45</v>
      </c>
      <c r="C44" s="3" t="s">
        <v>42</v>
      </c>
      <c r="F44" t="s">
        <v>270</v>
      </c>
      <c r="G44" t="str">
        <f t="shared" si="0"/>
        <v>AC000</v>
      </c>
      <c r="H44" t="str">
        <f t="shared" si="1"/>
        <v>APC</v>
      </c>
      <c r="I44" t="str">
        <f t="shared" si="2"/>
        <v>APCMCC1</v>
      </c>
      <c r="J44" s="5" t="b">
        <v>0</v>
      </c>
      <c r="K44" s="16" t="s">
        <v>45</v>
      </c>
      <c r="L44" s="16" t="s">
        <v>42</v>
      </c>
      <c r="M44" s="29" t="s">
        <v>602</v>
      </c>
    </row>
    <row r="45" spans="1:13" x14ac:dyDescent="0.3">
      <c r="A45" s="5" t="s">
        <v>97</v>
      </c>
      <c r="B45" s="3" t="s">
        <v>46</v>
      </c>
      <c r="C45" s="3" t="s">
        <v>46</v>
      </c>
      <c r="F45" t="s">
        <v>271</v>
      </c>
      <c r="G45" t="str">
        <f t="shared" si="0"/>
        <v>VPMCB</v>
      </c>
      <c r="H45" t="str">
        <f t="shared" si="1"/>
        <v>APC</v>
      </c>
      <c r="I45" t="str">
        <f t="shared" si="2"/>
        <v>APCMCC2</v>
      </c>
      <c r="J45" s="5" t="s">
        <v>603</v>
      </c>
      <c r="K45" s="4" t="s">
        <v>46</v>
      </c>
      <c r="L45" s="4" t="s">
        <v>46</v>
      </c>
      <c r="M45" s="29" t="s">
        <v>603</v>
      </c>
    </row>
    <row r="46" spans="1:13" x14ac:dyDescent="0.3">
      <c r="A46" s="5" t="s">
        <v>98</v>
      </c>
      <c r="B46" s="3" t="s">
        <v>47</v>
      </c>
      <c r="C46" s="3" t="s">
        <v>47</v>
      </c>
      <c r="F46" t="s">
        <v>272</v>
      </c>
      <c r="G46" t="str">
        <f t="shared" si="0"/>
        <v>VPMCF</v>
      </c>
      <c r="H46" t="str">
        <f t="shared" si="1"/>
        <v>APC</v>
      </c>
      <c r="I46" t="str">
        <f t="shared" si="2"/>
        <v>APCMCC3</v>
      </c>
      <c r="J46" s="5" t="s">
        <v>604</v>
      </c>
      <c r="K46" s="4" t="s">
        <v>47</v>
      </c>
      <c r="L46" s="4" t="s">
        <v>47</v>
      </c>
      <c r="M46" s="5" t="s">
        <v>604</v>
      </c>
    </row>
    <row r="47" spans="1:13" x14ac:dyDescent="0.3">
      <c r="F47" t="s">
        <v>273</v>
      </c>
      <c r="G47" t="str">
        <f t="shared" si="0"/>
        <v>VPMCO</v>
      </c>
      <c r="H47" t="str">
        <f t="shared" si="1"/>
        <v>APC</v>
      </c>
      <c r="I47" t="str">
        <f t="shared" si="2"/>
        <v>APCMCC4</v>
      </c>
      <c r="J47" s="5"/>
      <c r="K47" s="4"/>
      <c r="L47" s="4"/>
      <c r="M47" s="5"/>
    </row>
    <row r="48" spans="1:13" x14ac:dyDescent="0.3">
      <c r="F48" t="s">
        <v>274</v>
      </c>
      <c r="G48" t="str">
        <f t="shared" si="0"/>
        <v>VPMCP</v>
      </c>
      <c r="H48" t="str">
        <f t="shared" si="1"/>
        <v>APC</v>
      </c>
      <c r="I48" t="str">
        <f t="shared" si="2"/>
        <v>APCMCC5</v>
      </c>
      <c r="J48" s="5"/>
      <c r="K48" s="4"/>
      <c r="L48" s="4"/>
      <c r="M48" s="5"/>
    </row>
    <row r="49" spans="6:9" x14ac:dyDescent="0.3">
      <c r="F49" t="s">
        <v>275</v>
      </c>
      <c r="G49" t="str">
        <f t="shared" si="0"/>
        <v>ACMCW</v>
      </c>
      <c r="H49" t="str">
        <f t="shared" si="1"/>
        <v>APC</v>
      </c>
      <c r="I49" t="str">
        <f t="shared" si="2"/>
        <v>APCMCC6</v>
      </c>
    </row>
    <row r="50" spans="6:9" x14ac:dyDescent="0.3">
      <c r="F50" t="s">
        <v>276</v>
      </c>
      <c r="G50" t="str">
        <f t="shared" si="0"/>
        <v>VPMCX</v>
      </c>
      <c r="H50" t="str">
        <f t="shared" si="1"/>
        <v>APC</v>
      </c>
      <c r="I50" t="str">
        <f t="shared" si="2"/>
        <v>APCMCD1</v>
      </c>
    </row>
    <row r="51" spans="6:9" x14ac:dyDescent="0.3">
      <c r="F51" t="s">
        <v>277</v>
      </c>
      <c r="G51" t="str">
        <f t="shared" si="0"/>
        <v>ACMCY</v>
      </c>
      <c r="H51" t="str">
        <f t="shared" si="1"/>
        <v>APC</v>
      </c>
      <c r="I51" t="str">
        <f t="shared" si="2"/>
        <v>APCMCD2</v>
      </c>
    </row>
    <row r="52" spans="6:9" x14ac:dyDescent="0.3">
      <c r="F52" t="s">
        <v>278</v>
      </c>
      <c r="G52" t="str">
        <f t="shared" si="0"/>
        <v>ACMNW</v>
      </c>
      <c r="H52" t="str">
        <f t="shared" si="1"/>
        <v>APC</v>
      </c>
      <c r="I52" t="str">
        <f t="shared" si="2"/>
        <v>APCMCC7</v>
      </c>
    </row>
    <row r="53" spans="6:9" x14ac:dyDescent="0.3">
      <c r="F53" t="s">
        <v>279</v>
      </c>
      <c r="G53" t="str">
        <f t="shared" si="0"/>
        <v>BC000</v>
      </c>
      <c r="H53" t="str">
        <f t="shared" si="1"/>
        <v>APC</v>
      </c>
      <c r="I53" t="str">
        <f t="shared" si="2"/>
        <v>APCVIC2</v>
      </c>
    </row>
    <row r="54" spans="6:9" x14ac:dyDescent="0.3">
      <c r="F54" t="s">
        <v>280</v>
      </c>
      <c r="G54" t="str">
        <f t="shared" si="0"/>
        <v>VPVIB</v>
      </c>
      <c r="H54" t="str">
        <f t="shared" si="1"/>
        <v>APC</v>
      </c>
      <c r="I54" t="str">
        <f t="shared" si="2"/>
        <v>APCVIC3</v>
      </c>
    </row>
    <row r="55" spans="6:9" x14ac:dyDescent="0.3">
      <c r="F55" t="s">
        <v>281</v>
      </c>
      <c r="G55" t="str">
        <f t="shared" si="0"/>
        <v>VPVID</v>
      </c>
      <c r="H55" t="str">
        <f t="shared" si="1"/>
        <v>APC</v>
      </c>
      <c r="I55" t="str">
        <f t="shared" si="2"/>
        <v>APCVIC4</v>
      </c>
    </row>
    <row r="56" spans="6:9" x14ac:dyDescent="0.3">
      <c r="F56" t="s">
        <v>282</v>
      </c>
      <c r="G56" t="str">
        <f t="shared" si="0"/>
        <v>VPVIR</v>
      </c>
      <c r="H56" t="str">
        <f t="shared" si="1"/>
        <v>APC</v>
      </c>
      <c r="I56" t="str">
        <f t="shared" si="2"/>
        <v>APCVIC5</v>
      </c>
    </row>
    <row r="57" spans="6:9" x14ac:dyDescent="0.3">
      <c r="F57" t="s">
        <v>283</v>
      </c>
      <c r="G57" t="str">
        <f t="shared" si="0"/>
        <v>VPVIS</v>
      </c>
      <c r="H57" t="str">
        <f t="shared" si="1"/>
        <v>APC</v>
      </c>
      <c r="I57" t="str">
        <f t="shared" si="2"/>
        <v>APCVIC6</v>
      </c>
    </row>
    <row r="58" spans="6:9" x14ac:dyDescent="0.3">
      <c r="F58" t="s">
        <v>284</v>
      </c>
      <c r="G58" t="str">
        <f t="shared" si="0"/>
        <v>VPVIX</v>
      </c>
      <c r="H58" t="str">
        <f t="shared" si="1"/>
        <v>APC</v>
      </c>
      <c r="I58" t="str">
        <f t="shared" si="2"/>
        <v>APCVID4</v>
      </c>
    </row>
    <row r="59" spans="6:9" x14ac:dyDescent="0.3">
      <c r="F59" t="s">
        <v>285</v>
      </c>
      <c r="G59" t="str">
        <f t="shared" si="0"/>
        <v>DC000</v>
      </c>
      <c r="H59" t="str">
        <f t="shared" si="1"/>
        <v>APC</v>
      </c>
      <c r="I59" t="str">
        <f t="shared" si="2"/>
        <v>APCDCD</v>
      </c>
    </row>
    <row r="60" spans="6:9" x14ac:dyDescent="0.3">
      <c r="F60" t="s">
        <v>286</v>
      </c>
      <c r="G60" t="str">
        <f t="shared" si="0"/>
        <v>DE000</v>
      </c>
      <c r="H60" t="str">
        <f t="shared" si="1"/>
        <v>APC</v>
      </c>
      <c r="I60" t="str">
        <f t="shared" si="2"/>
        <v>APCVID1</v>
      </c>
    </row>
    <row r="61" spans="6:9" x14ac:dyDescent="0.3">
      <c r="F61" t="s">
        <v>287</v>
      </c>
      <c r="G61" t="str">
        <f t="shared" si="0"/>
        <v>DM000</v>
      </c>
      <c r="H61" t="str">
        <f t="shared" si="1"/>
        <v>APC</v>
      </c>
      <c r="I61" t="str">
        <f t="shared" si="2"/>
        <v>APCMCD3</v>
      </c>
    </row>
    <row r="62" spans="6:9" x14ac:dyDescent="0.3">
      <c r="F62" t="s">
        <v>288</v>
      </c>
      <c r="G62" t="str">
        <f t="shared" si="0"/>
        <v>PMDOM</v>
      </c>
      <c r="H62" t="str">
        <f t="shared" si="1"/>
        <v>APC</v>
      </c>
      <c r="I62" t="str">
        <f t="shared" si="2"/>
        <v>APCMCD8</v>
      </c>
    </row>
    <row r="63" spans="6:9" x14ac:dyDescent="0.3">
      <c r="F63" t="s">
        <v>289</v>
      </c>
      <c r="G63" t="str">
        <f t="shared" si="0"/>
        <v>JC000</v>
      </c>
      <c r="H63" t="str">
        <f t="shared" si="1"/>
        <v>APC</v>
      </c>
      <c r="I63" t="str">
        <f t="shared" si="2"/>
        <v>APCJCB</v>
      </c>
    </row>
    <row r="64" spans="6:9" x14ac:dyDescent="0.3">
      <c r="F64" t="s">
        <v>290</v>
      </c>
      <c r="G64" t="str">
        <f t="shared" si="0"/>
        <v>PE000</v>
      </c>
      <c r="H64" t="str">
        <f t="shared" si="1"/>
        <v>APC</v>
      </c>
      <c r="I64" t="str">
        <f t="shared" si="2"/>
        <v>APCVID5</v>
      </c>
    </row>
    <row r="65" spans="6:9" x14ac:dyDescent="0.3">
      <c r="F65" t="s">
        <v>291</v>
      </c>
      <c r="G65" t="str">
        <f t="shared" si="0"/>
        <v>AC000</v>
      </c>
      <c r="H65" t="str">
        <f t="shared" si="1"/>
        <v>APU</v>
      </c>
      <c r="I65" t="str">
        <f t="shared" si="2"/>
        <v>APUMCC1</v>
      </c>
    </row>
    <row r="66" spans="6:9" x14ac:dyDescent="0.3">
      <c r="F66" t="s">
        <v>292</v>
      </c>
      <c r="G66" t="str">
        <f t="shared" si="0"/>
        <v>VPMCB</v>
      </c>
      <c r="H66" t="str">
        <f t="shared" si="1"/>
        <v>APU</v>
      </c>
      <c r="I66" t="str">
        <f t="shared" si="2"/>
        <v>APUMCC2</v>
      </c>
    </row>
    <row r="67" spans="6:9" x14ac:dyDescent="0.3">
      <c r="F67" t="s">
        <v>293</v>
      </c>
      <c r="G67" t="str">
        <f t="shared" ref="G67:G130" si="3">RIGHT(F67,5)</f>
        <v>VPMCF</v>
      </c>
      <c r="H67" t="str">
        <f t="shared" ref="H67:H130" si="4">LEFT(F67,3)</f>
        <v>APU</v>
      </c>
      <c r="I67" t="str">
        <f t="shared" ref="I67:I130" si="5">H67&amp;INDEX(A:A,MATCH(G67,J:J,0))</f>
        <v>APUMCC3</v>
      </c>
    </row>
    <row r="68" spans="6:9" x14ac:dyDescent="0.3">
      <c r="F68" t="s">
        <v>294</v>
      </c>
      <c r="G68" t="str">
        <f t="shared" si="3"/>
        <v>VPMCO</v>
      </c>
      <c r="H68" t="str">
        <f t="shared" si="4"/>
        <v>APU</v>
      </c>
      <c r="I68" t="str">
        <f t="shared" si="5"/>
        <v>APUMCC4</v>
      </c>
    </row>
    <row r="69" spans="6:9" x14ac:dyDescent="0.3">
      <c r="F69" t="s">
        <v>295</v>
      </c>
      <c r="G69" t="str">
        <f t="shared" si="3"/>
        <v>VPMCP</v>
      </c>
      <c r="H69" t="str">
        <f t="shared" si="4"/>
        <v>APU</v>
      </c>
      <c r="I69" t="str">
        <f t="shared" si="5"/>
        <v>APUMCC5</v>
      </c>
    </row>
    <row r="70" spans="6:9" x14ac:dyDescent="0.3">
      <c r="F70" t="s">
        <v>296</v>
      </c>
      <c r="G70" t="str">
        <f t="shared" si="3"/>
        <v>ACMCW</v>
      </c>
      <c r="H70" t="str">
        <f t="shared" si="4"/>
        <v>APU</v>
      </c>
      <c r="I70" t="str">
        <f t="shared" si="5"/>
        <v>APUMCC6</v>
      </c>
    </row>
    <row r="71" spans="6:9" x14ac:dyDescent="0.3">
      <c r="F71" t="s">
        <v>297</v>
      </c>
      <c r="G71" t="str">
        <f t="shared" si="3"/>
        <v>VPMCX</v>
      </c>
      <c r="H71" t="str">
        <f t="shared" si="4"/>
        <v>APU</v>
      </c>
      <c r="I71" t="str">
        <f t="shared" si="5"/>
        <v>APUMCD1</v>
      </c>
    </row>
    <row r="72" spans="6:9" x14ac:dyDescent="0.3">
      <c r="F72" t="s">
        <v>298</v>
      </c>
      <c r="G72" t="str">
        <f t="shared" si="3"/>
        <v>ACMCY</v>
      </c>
      <c r="H72" t="str">
        <f t="shared" si="4"/>
        <v>APU</v>
      </c>
      <c r="I72" t="str">
        <f t="shared" si="5"/>
        <v>APUMCD2</v>
      </c>
    </row>
    <row r="73" spans="6:9" x14ac:dyDescent="0.3">
      <c r="F73" t="s">
        <v>299</v>
      </c>
      <c r="G73" t="str">
        <f t="shared" si="3"/>
        <v>ACMNW</v>
      </c>
      <c r="H73" t="str">
        <f t="shared" si="4"/>
        <v>APU</v>
      </c>
      <c r="I73" t="str">
        <f t="shared" si="5"/>
        <v>APUMCC7</v>
      </c>
    </row>
    <row r="74" spans="6:9" x14ac:dyDescent="0.3">
      <c r="F74" t="s">
        <v>300</v>
      </c>
      <c r="G74" t="str">
        <f t="shared" si="3"/>
        <v>BC000</v>
      </c>
      <c r="H74" t="str">
        <f t="shared" si="4"/>
        <v>APU</v>
      </c>
      <c r="I74" t="str">
        <f t="shared" si="5"/>
        <v>APUVIC2</v>
      </c>
    </row>
    <row r="75" spans="6:9" x14ac:dyDescent="0.3">
      <c r="F75" t="s">
        <v>301</v>
      </c>
      <c r="G75" t="str">
        <f t="shared" si="3"/>
        <v>VPVIB</v>
      </c>
      <c r="H75" t="str">
        <f t="shared" si="4"/>
        <v>APU</v>
      </c>
      <c r="I75" t="str">
        <f t="shared" si="5"/>
        <v>APUVIC3</v>
      </c>
    </row>
    <row r="76" spans="6:9" x14ac:dyDescent="0.3">
      <c r="F76" t="s">
        <v>302</v>
      </c>
      <c r="G76" t="str">
        <f t="shared" si="3"/>
        <v>VPVID</v>
      </c>
      <c r="H76" t="str">
        <f t="shared" si="4"/>
        <v>APU</v>
      </c>
      <c r="I76" t="str">
        <f t="shared" si="5"/>
        <v>APUVIC4</v>
      </c>
    </row>
    <row r="77" spans="6:9" x14ac:dyDescent="0.3">
      <c r="F77" t="s">
        <v>303</v>
      </c>
      <c r="G77" t="str">
        <f t="shared" si="3"/>
        <v>VPVIR</v>
      </c>
      <c r="H77" t="str">
        <f t="shared" si="4"/>
        <v>APU</v>
      </c>
      <c r="I77" t="str">
        <f t="shared" si="5"/>
        <v>APUVIC5</v>
      </c>
    </row>
    <row r="78" spans="6:9" x14ac:dyDescent="0.3">
      <c r="F78" t="s">
        <v>304</v>
      </c>
      <c r="G78" t="str">
        <f t="shared" si="3"/>
        <v>VPVIS</v>
      </c>
      <c r="H78" t="str">
        <f t="shared" si="4"/>
        <v>APU</v>
      </c>
      <c r="I78" t="str">
        <f t="shared" si="5"/>
        <v>APUVIC6</v>
      </c>
    </row>
    <row r="79" spans="6:9" x14ac:dyDescent="0.3">
      <c r="F79" t="s">
        <v>305</v>
      </c>
      <c r="G79" t="str">
        <f t="shared" si="3"/>
        <v>VPVIX</v>
      </c>
      <c r="H79" t="str">
        <f t="shared" si="4"/>
        <v>APU</v>
      </c>
      <c r="I79" t="str">
        <f t="shared" si="5"/>
        <v>APUVID4</v>
      </c>
    </row>
    <row r="80" spans="6:9" x14ac:dyDescent="0.3">
      <c r="F80" t="s">
        <v>306</v>
      </c>
      <c r="G80" t="str">
        <f t="shared" si="3"/>
        <v>DC000</v>
      </c>
      <c r="H80" t="str">
        <f t="shared" si="4"/>
        <v>APU</v>
      </c>
      <c r="I80" t="str">
        <f t="shared" si="5"/>
        <v>APUDCD</v>
      </c>
    </row>
    <row r="81" spans="6:9" x14ac:dyDescent="0.3">
      <c r="F81" t="s">
        <v>307</v>
      </c>
      <c r="G81" t="str">
        <f t="shared" si="3"/>
        <v>DE000</v>
      </c>
      <c r="H81" t="str">
        <f t="shared" si="4"/>
        <v>APU</v>
      </c>
      <c r="I81" t="str">
        <f t="shared" si="5"/>
        <v>APUVID1</v>
      </c>
    </row>
    <row r="82" spans="6:9" x14ac:dyDescent="0.3">
      <c r="F82" t="s">
        <v>308</v>
      </c>
      <c r="G82" t="str">
        <f t="shared" si="3"/>
        <v>DM000</v>
      </c>
      <c r="H82" t="str">
        <f t="shared" si="4"/>
        <v>APU</v>
      </c>
      <c r="I82" t="str">
        <f t="shared" si="5"/>
        <v>APUMCD3</v>
      </c>
    </row>
    <row r="83" spans="6:9" x14ac:dyDescent="0.3">
      <c r="F83" s="31" t="s">
        <v>309</v>
      </c>
      <c r="G83" t="str">
        <f t="shared" si="3"/>
        <v>PMDOM</v>
      </c>
      <c r="H83" t="str">
        <f t="shared" si="4"/>
        <v>APU</v>
      </c>
      <c r="I83" t="str">
        <f t="shared" si="5"/>
        <v>APUMCD8</v>
      </c>
    </row>
    <row r="84" spans="6:9" x14ac:dyDescent="0.3">
      <c r="F84" t="s">
        <v>310</v>
      </c>
      <c r="G84" t="str">
        <f t="shared" si="3"/>
        <v>JC000</v>
      </c>
      <c r="H84" t="str">
        <f t="shared" si="4"/>
        <v>APU</v>
      </c>
      <c r="I84" t="str">
        <f t="shared" si="5"/>
        <v>APUJCB</v>
      </c>
    </row>
    <row r="85" spans="6:9" x14ac:dyDescent="0.3">
      <c r="F85" t="s">
        <v>311</v>
      </c>
      <c r="G85" t="str">
        <f t="shared" si="3"/>
        <v>PE000</v>
      </c>
      <c r="H85" t="str">
        <f t="shared" si="4"/>
        <v>APU</v>
      </c>
      <c r="I85" t="str">
        <f t="shared" si="5"/>
        <v>APUVID5</v>
      </c>
    </row>
    <row r="86" spans="6:9" x14ac:dyDescent="0.3">
      <c r="F86" t="s">
        <v>312</v>
      </c>
      <c r="G86" t="str">
        <f t="shared" si="3"/>
        <v>AC000</v>
      </c>
      <c r="H86" t="str">
        <f t="shared" si="4"/>
        <v>ARF</v>
      </c>
      <c r="I86" t="str">
        <f t="shared" si="5"/>
        <v>ARFMCC1</v>
      </c>
    </row>
    <row r="87" spans="6:9" x14ac:dyDescent="0.3">
      <c r="F87" t="s">
        <v>313</v>
      </c>
      <c r="G87" t="str">
        <f t="shared" si="3"/>
        <v>VPMCB</v>
      </c>
      <c r="H87" t="str">
        <f t="shared" si="4"/>
        <v>ARF</v>
      </c>
      <c r="I87" t="str">
        <f t="shared" si="5"/>
        <v>ARFMCC2</v>
      </c>
    </row>
    <row r="88" spans="6:9" x14ac:dyDescent="0.3">
      <c r="F88" t="s">
        <v>314</v>
      </c>
      <c r="G88" t="str">
        <f t="shared" si="3"/>
        <v>VPMCF</v>
      </c>
      <c r="H88" t="str">
        <f t="shared" si="4"/>
        <v>ARF</v>
      </c>
      <c r="I88" t="str">
        <f t="shared" si="5"/>
        <v>ARFMCC3</v>
      </c>
    </row>
    <row r="89" spans="6:9" x14ac:dyDescent="0.3">
      <c r="F89" t="s">
        <v>315</v>
      </c>
      <c r="G89" t="str">
        <f t="shared" si="3"/>
        <v>VPMCO</v>
      </c>
      <c r="H89" t="str">
        <f t="shared" si="4"/>
        <v>ARF</v>
      </c>
      <c r="I89" t="str">
        <f t="shared" si="5"/>
        <v>ARFMCC4</v>
      </c>
    </row>
    <row r="90" spans="6:9" x14ac:dyDescent="0.3">
      <c r="F90" t="s">
        <v>316</v>
      </c>
      <c r="G90" t="str">
        <f t="shared" si="3"/>
        <v>VPMCP</v>
      </c>
      <c r="H90" t="str">
        <f t="shared" si="4"/>
        <v>ARF</v>
      </c>
      <c r="I90" t="str">
        <f t="shared" si="5"/>
        <v>ARFMCC5</v>
      </c>
    </row>
    <row r="91" spans="6:9" x14ac:dyDescent="0.3">
      <c r="F91" t="s">
        <v>317</v>
      </c>
      <c r="G91" t="str">
        <f t="shared" si="3"/>
        <v>ACMCW</v>
      </c>
      <c r="H91" t="str">
        <f t="shared" si="4"/>
        <v>ARF</v>
      </c>
      <c r="I91" t="str">
        <f t="shared" si="5"/>
        <v>ARFMCC6</v>
      </c>
    </row>
    <row r="92" spans="6:9" x14ac:dyDescent="0.3">
      <c r="F92" t="s">
        <v>318</v>
      </c>
      <c r="G92" t="str">
        <f t="shared" si="3"/>
        <v>VPMCX</v>
      </c>
      <c r="H92" t="str">
        <f t="shared" si="4"/>
        <v>ARF</v>
      </c>
      <c r="I92" t="str">
        <f t="shared" si="5"/>
        <v>ARFMCD1</v>
      </c>
    </row>
    <row r="93" spans="6:9" x14ac:dyDescent="0.3">
      <c r="F93" t="s">
        <v>319</v>
      </c>
      <c r="G93" t="str">
        <f t="shared" si="3"/>
        <v>ACMCY</v>
      </c>
      <c r="H93" t="str">
        <f t="shared" si="4"/>
        <v>ARF</v>
      </c>
      <c r="I93" t="str">
        <f t="shared" si="5"/>
        <v>ARFMCD2</v>
      </c>
    </row>
    <row r="94" spans="6:9" x14ac:dyDescent="0.3">
      <c r="F94" t="s">
        <v>320</v>
      </c>
      <c r="G94" t="str">
        <f t="shared" si="3"/>
        <v>ACMNW</v>
      </c>
      <c r="H94" t="str">
        <f t="shared" si="4"/>
        <v>ARF</v>
      </c>
      <c r="I94" t="str">
        <f t="shared" si="5"/>
        <v>ARFMCC7</v>
      </c>
    </row>
    <row r="95" spans="6:9" x14ac:dyDescent="0.3">
      <c r="F95" t="s">
        <v>321</v>
      </c>
      <c r="G95" t="str">
        <f t="shared" si="3"/>
        <v>BC000</v>
      </c>
      <c r="H95" t="str">
        <f t="shared" si="4"/>
        <v>ARF</v>
      </c>
      <c r="I95" t="str">
        <f t="shared" si="5"/>
        <v>ARFVIC2</v>
      </c>
    </row>
    <row r="96" spans="6:9" x14ac:dyDescent="0.3">
      <c r="F96" t="s">
        <v>322</v>
      </c>
      <c r="G96" t="str">
        <f t="shared" si="3"/>
        <v>VPVIB</v>
      </c>
      <c r="H96" t="str">
        <f t="shared" si="4"/>
        <v>ARF</v>
      </c>
      <c r="I96" t="str">
        <f t="shared" si="5"/>
        <v>ARFVIC3</v>
      </c>
    </row>
    <row r="97" spans="6:9" x14ac:dyDescent="0.3">
      <c r="F97" t="s">
        <v>323</v>
      </c>
      <c r="G97" t="str">
        <f t="shared" si="3"/>
        <v>VPVID</v>
      </c>
      <c r="H97" t="str">
        <f t="shared" si="4"/>
        <v>ARF</v>
      </c>
      <c r="I97" t="str">
        <f t="shared" si="5"/>
        <v>ARFVIC4</v>
      </c>
    </row>
    <row r="98" spans="6:9" x14ac:dyDescent="0.3">
      <c r="F98" t="s">
        <v>324</v>
      </c>
      <c r="G98" t="str">
        <f t="shared" si="3"/>
        <v>VPVIR</v>
      </c>
      <c r="H98" t="str">
        <f t="shared" si="4"/>
        <v>ARF</v>
      </c>
      <c r="I98" t="str">
        <f t="shared" si="5"/>
        <v>ARFVIC5</v>
      </c>
    </row>
    <row r="99" spans="6:9" x14ac:dyDescent="0.3">
      <c r="F99" t="s">
        <v>325</v>
      </c>
      <c r="G99" t="str">
        <f t="shared" si="3"/>
        <v>VPVIS</v>
      </c>
      <c r="H99" t="str">
        <f t="shared" si="4"/>
        <v>ARF</v>
      </c>
      <c r="I99" t="str">
        <f t="shared" si="5"/>
        <v>ARFVIC6</v>
      </c>
    </row>
    <row r="100" spans="6:9" x14ac:dyDescent="0.3">
      <c r="F100" t="s">
        <v>326</v>
      </c>
      <c r="G100" t="str">
        <f t="shared" si="3"/>
        <v>VPVIX</v>
      </c>
      <c r="H100" t="str">
        <f t="shared" si="4"/>
        <v>ARF</v>
      </c>
      <c r="I100" t="str">
        <f t="shared" si="5"/>
        <v>ARFVID4</v>
      </c>
    </row>
    <row r="101" spans="6:9" x14ac:dyDescent="0.3">
      <c r="F101" t="s">
        <v>327</v>
      </c>
      <c r="G101" t="str">
        <f t="shared" si="3"/>
        <v>DC000</v>
      </c>
      <c r="H101" t="str">
        <f t="shared" si="4"/>
        <v>ARF</v>
      </c>
      <c r="I101" t="str">
        <f t="shared" si="5"/>
        <v>ARFDCD</v>
      </c>
    </row>
    <row r="102" spans="6:9" x14ac:dyDescent="0.3">
      <c r="F102" t="s">
        <v>328</v>
      </c>
      <c r="G102" t="str">
        <f t="shared" si="3"/>
        <v>DE000</v>
      </c>
      <c r="H102" t="str">
        <f t="shared" si="4"/>
        <v>ARF</v>
      </c>
      <c r="I102" t="str">
        <f t="shared" si="5"/>
        <v>ARFVID1</v>
      </c>
    </row>
    <row r="103" spans="6:9" x14ac:dyDescent="0.3">
      <c r="F103" t="s">
        <v>329</v>
      </c>
      <c r="G103" t="str">
        <f t="shared" si="3"/>
        <v>DM000</v>
      </c>
      <c r="H103" t="str">
        <f t="shared" si="4"/>
        <v>ARF</v>
      </c>
      <c r="I103" t="str">
        <f t="shared" si="5"/>
        <v>ARFMCD3</v>
      </c>
    </row>
    <row r="104" spans="6:9" x14ac:dyDescent="0.3">
      <c r="F104" s="31" t="s">
        <v>330</v>
      </c>
      <c r="G104" t="str">
        <f t="shared" si="3"/>
        <v>PMDOM</v>
      </c>
      <c r="H104" t="str">
        <f t="shared" si="4"/>
        <v>ARF</v>
      </c>
      <c r="I104" t="str">
        <f t="shared" si="5"/>
        <v>ARFMCD8</v>
      </c>
    </row>
    <row r="105" spans="6:9" x14ac:dyDescent="0.3">
      <c r="F105" t="s">
        <v>331</v>
      </c>
      <c r="G105" t="str">
        <f t="shared" si="3"/>
        <v>JC000</v>
      </c>
      <c r="H105" t="str">
        <f t="shared" si="4"/>
        <v>ARF</v>
      </c>
      <c r="I105" t="str">
        <f t="shared" si="5"/>
        <v>ARFJCB</v>
      </c>
    </row>
    <row r="106" spans="6:9" x14ac:dyDescent="0.3">
      <c r="F106" t="s">
        <v>332</v>
      </c>
      <c r="G106" t="str">
        <f t="shared" si="3"/>
        <v>PE000</v>
      </c>
      <c r="H106" t="str">
        <f t="shared" si="4"/>
        <v>ARF</v>
      </c>
      <c r="I106" t="str">
        <f t="shared" si="5"/>
        <v>ARFVID5</v>
      </c>
    </row>
    <row r="107" spans="6:9" x14ac:dyDescent="0.3">
      <c r="F107" t="s">
        <v>333</v>
      </c>
      <c r="G107" t="str">
        <f t="shared" si="3"/>
        <v>MAN01</v>
      </c>
      <c r="H107" t="str">
        <f t="shared" si="4"/>
        <v>MMA</v>
      </c>
      <c r="I107" t="e">
        <f t="shared" si="5"/>
        <v>#N/A</v>
      </c>
    </row>
    <row r="108" spans="6:9" x14ac:dyDescent="0.3">
      <c r="F108" t="s">
        <v>334</v>
      </c>
      <c r="G108" t="str">
        <f t="shared" si="3"/>
        <v>NAPAX</v>
      </c>
      <c r="H108" t="str">
        <f t="shared" si="4"/>
        <v>NAP</v>
      </c>
      <c r="I108" t="e">
        <f t="shared" si="5"/>
        <v>#N/A</v>
      </c>
    </row>
    <row r="109" spans="6:9" x14ac:dyDescent="0.3">
      <c r="F109" t="s">
        <v>335</v>
      </c>
      <c r="G109" t="str">
        <f t="shared" si="3"/>
        <v>NARAX</v>
      </c>
      <c r="H109" t="str">
        <f t="shared" si="4"/>
        <v>NAR</v>
      </c>
      <c r="I109" t="e">
        <f t="shared" si="5"/>
        <v>#N/A</v>
      </c>
    </row>
    <row r="110" spans="6:9" x14ac:dyDescent="0.3">
      <c r="F110" t="s">
        <v>336</v>
      </c>
      <c r="G110" t="str">
        <f t="shared" si="3"/>
        <v>NAPDC</v>
      </c>
      <c r="H110" t="str">
        <f t="shared" si="4"/>
        <v>NAP</v>
      </c>
      <c r="I110" t="e">
        <f t="shared" si="5"/>
        <v>#N/A</v>
      </c>
    </row>
    <row r="111" spans="6:9" x14ac:dyDescent="0.3">
      <c r="F111" t="s">
        <v>337</v>
      </c>
      <c r="G111" t="str">
        <f t="shared" si="3"/>
        <v>NARDC</v>
      </c>
      <c r="H111" t="str">
        <f t="shared" si="4"/>
        <v>NAR</v>
      </c>
      <c r="I111" t="e">
        <f t="shared" si="5"/>
        <v>#N/A</v>
      </c>
    </row>
    <row r="112" spans="6:9" x14ac:dyDescent="0.3">
      <c r="F112" t="s">
        <v>338</v>
      </c>
      <c r="G112" t="str">
        <f t="shared" si="3"/>
        <v>NAPLS</v>
      </c>
      <c r="H112" t="str">
        <f t="shared" si="4"/>
        <v>NAP</v>
      </c>
      <c r="I112" t="e">
        <f t="shared" si="5"/>
        <v>#N/A</v>
      </c>
    </row>
    <row r="113" spans="6:9" x14ac:dyDescent="0.3">
      <c r="F113" t="s">
        <v>339</v>
      </c>
      <c r="G113" t="str">
        <f t="shared" si="3"/>
        <v>NARLS</v>
      </c>
      <c r="H113" t="str">
        <f t="shared" si="4"/>
        <v>NAR</v>
      </c>
      <c r="I113" t="e">
        <f t="shared" si="5"/>
        <v>#N/A</v>
      </c>
    </row>
    <row r="114" spans="6:9" x14ac:dyDescent="0.3">
      <c r="F114" t="s">
        <v>340</v>
      </c>
      <c r="G114" t="str">
        <f t="shared" si="3"/>
        <v>NAPJC</v>
      </c>
      <c r="H114" t="str">
        <f t="shared" si="4"/>
        <v>NAP</v>
      </c>
      <c r="I114" t="e">
        <f t="shared" si="5"/>
        <v>#N/A</v>
      </c>
    </row>
    <row r="115" spans="6:9" x14ac:dyDescent="0.3">
      <c r="F115" t="s">
        <v>341</v>
      </c>
      <c r="G115" t="str">
        <f t="shared" si="3"/>
        <v>NARJC</v>
      </c>
      <c r="H115" t="str">
        <f t="shared" si="4"/>
        <v>NAR</v>
      </c>
      <c r="I115" t="e">
        <f t="shared" si="5"/>
        <v>#N/A</v>
      </c>
    </row>
    <row r="116" spans="6:9" x14ac:dyDescent="0.3">
      <c r="F116" t="s">
        <v>342</v>
      </c>
      <c r="G116" t="str">
        <f t="shared" si="3"/>
        <v>NAPKF</v>
      </c>
      <c r="H116" t="str">
        <f t="shared" si="4"/>
        <v>NAP</v>
      </c>
      <c r="I116" t="e">
        <f t="shared" si="5"/>
        <v>#N/A</v>
      </c>
    </row>
    <row r="117" spans="6:9" x14ac:dyDescent="0.3">
      <c r="F117" t="s">
        <v>343</v>
      </c>
      <c r="G117" t="str">
        <f t="shared" si="3"/>
        <v>NARKF</v>
      </c>
      <c r="H117" t="str">
        <f t="shared" si="4"/>
        <v>NAR</v>
      </c>
      <c r="I117" t="e">
        <f t="shared" si="5"/>
        <v>#N/A</v>
      </c>
    </row>
    <row r="118" spans="6:9" x14ac:dyDescent="0.3">
      <c r="F118" t="s">
        <v>344</v>
      </c>
      <c r="G118" t="str">
        <f t="shared" si="3"/>
        <v>NAPSE</v>
      </c>
      <c r="H118" t="str">
        <f t="shared" si="4"/>
        <v>NAP</v>
      </c>
      <c r="I118" t="e">
        <f t="shared" si="5"/>
        <v>#N/A</v>
      </c>
    </row>
    <row r="119" spans="6:9" x14ac:dyDescent="0.3">
      <c r="F119" t="s">
        <v>345</v>
      </c>
      <c r="G119" t="str">
        <f t="shared" si="3"/>
        <v>NARSE</v>
      </c>
      <c r="H119" t="str">
        <f t="shared" si="4"/>
        <v>NAR</v>
      </c>
      <c r="I119" t="e">
        <f t="shared" si="5"/>
        <v>#N/A</v>
      </c>
    </row>
    <row r="120" spans="6:9" x14ac:dyDescent="0.3">
      <c r="F120" t="s">
        <v>346</v>
      </c>
      <c r="G120" t="str">
        <f t="shared" si="3"/>
        <v>NAPAS</v>
      </c>
      <c r="H120" t="str">
        <f t="shared" si="4"/>
        <v>NAP</v>
      </c>
      <c r="I120" t="e">
        <f t="shared" si="5"/>
        <v>#N/A</v>
      </c>
    </row>
    <row r="121" spans="6:9" x14ac:dyDescent="0.3">
      <c r="F121" t="s">
        <v>347</v>
      </c>
      <c r="G121" t="str">
        <f t="shared" si="3"/>
        <v>NARAS</v>
      </c>
      <c r="H121" t="str">
        <f t="shared" si="4"/>
        <v>NAR</v>
      </c>
      <c r="I121" t="e">
        <f t="shared" si="5"/>
        <v>#N/A</v>
      </c>
    </row>
    <row r="122" spans="6:9" x14ac:dyDescent="0.3">
      <c r="F122" t="s">
        <v>348</v>
      </c>
      <c r="G122" t="str">
        <f t="shared" si="3"/>
        <v>NAPOD</v>
      </c>
      <c r="H122" t="str">
        <f t="shared" si="4"/>
        <v>NAP</v>
      </c>
      <c r="I122" t="e">
        <f t="shared" si="5"/>
        <v>#N/A</v>
      </c>
    </row>
    <row r="123" spans="6:9" x14ac:dyDescent="0.3">
      <c r="F123" t="s">
        <v>349</v>
      </c>
      <c r="G123" t="str">
        <f t="shared" si="3"/>
        <v>NAROD</v>
      </c>
      <c r="H123" t="str">
        <f t="shared" si="4"/>
        <v>NAR</v>
      </c>
      <c r="I123" t="e">
        <f t="shared" si="5"/>
        <v>#N/A</v>
      </c>
    </row>
    <row r="124" spans="6:9" x14ac:dyDescent="0.3">
      <c r="F124" t="s">
        <v>350</v>
      </c>
      <c r="G124" t="str">
        <f t="shared" si="3"/>
        <v>NAPSC</v>
      </c>
      <c r="H124" t="str">
        <f t="shared" si="4"/>
        <v>NAP</v>
      </c>
      <c r="I124" t="e">
        <f t="shared" si="5"/>
        <v>#N/A</v>
      </c>
    </row>
    <row r="125" spans="6:9" x14ac:dyDescent="0.3">
      <c r="F125" t="s">
        <v>351</v>
      </c>
      <c r="G125" t="str">
        <f t="shared" si="3"/>
        <v>NARSC</v>
      </c>
      <c r="H125" t="str">
        <f t="shared" si="4"/>
        <v>NAR</v>
      </c>
      <c r="I125" t="e">
        <f t="shared" si="5"/>
        <v>#N/A</v>
      </c>
    </row>
    <row r="126" spans="6:9" x14ac:dyDescent="0.3">
      <c r="F126" t="s">
        <v>352</v>
      </c>
      <c r="G126" t="str">
        <f t="shared" si="3"/>
        <v>CCA01</v>
      </c>
      <c r="H126" t="str">
        <f t="shared" si="4"/>
        <v>PPM</v>
      </c>
      <c r="I126" t="e">
        <f t="shared" si="5"/>
        <v>#N/A</v>
      </c>
    </row>
    <row r="127" spans="6:9" x14ac:dyDescent="0.3">
      <c r="F127" t="s">
        <v>353</v>
      </c>
      <c r="G127" t="str">
        <f t="shared" si="3"/>
        <v>CCC01</v>
      </c>
      <c r="H127" t="str">
        <f t="shared" si="4"/>
        <v>PPM</v>
      </c>
      <c r="I127" t="e">
        <f t="shared" si="5"/>
        <v>#N/A</v>
      </c>
    </row>
    <row r="128" spans="6:9" x14ac:dyDescent="0.3">
      <c r="F128" t="s">
        <v>354</v>
      </c>
      <c r="G128" t="str">
        <f t="shared" si="3"/>
        <v>CCC02</v>
      </c>
      <c r="H128" t="str">
        <f t="shared" si="4"/>
        <v>PPM</v>
      </c>
      <c r="I128" t="e">
        <f t="shared" si="5"/>
        <v>#N/A</v>
      </c>
    </row>
    <row r="129" spans="6:9" x14ac:dyDescent="0.3">
      <c r="F129" t="s">
        <v>355</v>
      </c>
      <c r="G129" t="str">
        <f t="shared" si="3"/>
        <v>CCC03</v>
      </c>
      <c r="H129" t="str">
        <f t="shared" si="4"/>
        <v>PPM</v>
      </c>
      <c r="I129" t="e">
        <f t="shared" si="5"/>
        <v>#N/A</v>
      </c>
    </row>
    <row r="130" spans="6:9" x14ac:dyDescent="0.3">
      <c r="F130" t="s">
        <v>356</v>
      </c>
      <c r="G130" t="str">
        <f t="shared" si="3"/>
        <v>CCC05</v>
      </c>
      <c r="H130" t="str">
        <f t="shared" si="4"/>
        <v>PPM</v>
      </c>
      <c r="I130" t="e">
        <f t="shared" si="5"/>
        <v>#N/A</v>
      </c>
    </row>
    <row r="131" spans="6:9" x14ac:dyDescent="0.3">
      <c r="F131" t="s">
        <v>357</v>
      </c>
      <c r="G131" t="str">
        <f t="shared" ref="G131:G194" si="6">RIGHT(F131,5)</f>
        <v>CCC06</v>
      </c>
      <c r="H131" t="str">
        <f t="shared" ref="H131:H194" si="7">LEFT(F131,3)</f>
        <v>PPM</v>
      </c>
      <c r="I131" t="e">
        <f t="shared" ref="I131:I194" si="8">H131&amp;INDEX(A:A,MATCH(G131,J:J,0))</f>
        <v>#N/A</v>
      </c>
    </row>
    <row r="132" spans="6:9" x14ac:dyDescent="0.3">
      <c r="F132" t="s">
        <v>358</v>
      </c>
      <c r="G132" t="str">
        <f t="shared" si="6"/>
        <v>CCC07</v>
      </c>
      <c r="H132" t="str">
        <f t="shared" si="7"/>
        <v>PPM</v>
      </c>
      <c r="I132" t="e">
        <f t="shared" si="8"/>
        <v>#N/A</v>
      </c>
    </row>
    <row r="133" spans="6:9" x14ac:dyDescent="0.3">
      <c r="F133" t="s">
        <v>359</v>
      </c>
      <c r="G133" t="str">
        <f t="shared" si="6"/>
        <v>CCC08</v>
      </c>
      <c r="H133" t="str">
        <f t="shared" si="7"/>
        <v>PPM</v>
      </c>
      <c r="I133" t="e">
        <f t="shared" si="8"/>
        <v>#N/A</v>
      </c>
    </row>
    <row r="134" spans="6:9" x14ac:dyDescent="0.3">
      <c r="F134" t="s">
        <v>360</v>
      </c>
      <c r="G134" t="str">
        <f t="shared" si="6"/>
        <v>CCC09</v>
      </c>
      <c r="H134" t="str">
        <f t="shared" si="7"/>
        <v>PPM</v>
      </c>
      <c r="I134" t="e">
        <f t="shared" si="8"/>
        <v>#N/A</v>
      </c>
    </row>
    <row r="135" spans="6:9" x14ac:dyDescent="0.3">
      <c r="F135" t="s">
        <v>361</v>
      </c>
      <c r="G135" t="str">
        <f t="shared" si="6"/>
        <v>CCC10</v>
      </c>
      <c r="H135" t="str">
        <f t="shared" si="7"/>
        <v>PPM</v>
      </c>
      <c r="I135" t="e">
        <f t="shared" si="8"/>
        <v>#N/A</v>
      </c>
    </row>
    <row r="136" spans="6:9" x14ac:dyDescent="0.3">
      <c r="F136" t="s">
        <v>362</v>
      </c>
      <c r="G136" t="str">
        <f t="shared" si="6"/>
        <v>CCL01</v>
      </c>
      <c r="H136" t="str">
        <f t="shared" si="7"/>
        <v>PPM</v>
      </c>
      <c r="I136" t="e">
        <f t="shared" si="8"/>
        <v>#N/A</v>
      </c>
    </row>
    <row r="137" spans="6:9" x14ac:dyDescent="0.3">
      <c r="F137" t="s">
        <v>363</v>
      </c>
      <c r="G137" t="str">
        <f t="shared" si="6"/>
        <v>CCL02</v>
      </c>
      <c r="H137" t="str">
        <f t="shared" si="7"/>
        <v>PPM</v>
      </c>
      <c r="I137" t="e">
        <f t="shared" si="8"/>
        <v>#N/A</v>
      </c>
    </row>
    <row r="138" spans="6:9" x14ac:dyDescent="0.3">
      <c r="F138" t="s">
        <v>364</v>
      </c>
      <c r="G138" t="str">
        <f t="shared" si="6"/>
        <v>CCL03</v>
      </c>
      <c r="H138" t="str">
        <f t="shared" si="7"/>
        <v>PPM</v>
      </c>
      <c r="I138" t="e">
        <f t="shared" si="8"/>
        <v>#N/A</v>
      </c>
    </row>
    <row r="139" spans="6:9" x14ac:dyDescent="0.3">
      <c r="F139" t="s">
        <v>365</v>
      </c>
      <c r="G139" t="str">
        <f t="shared" si="6"/>
        <v>CDA01</v>
      </c>
      <c r="H139" t="str">
        <f t="shared" si="7"/>
        <v>PPM</v>
      </c>
      <c r="I139" t="e">
        <f t="shared" si="8"/>
        <v>#N/A</v>
      </c>
    </row>
    <row r="140" spans="6:9" x14ac:dyDescent="0.3">
      <c r="F140" t="s">
        <v>366</v>
      </c>
      <c r="G140" t="str">
        <f t="shared" si="6"/>
        <v>CDC01</v>
      </c>
      <c r="H140" t="str">
        <f t="shared" si="7"/>
        <v>PPM</v>
      </c>
      <c r="I140" t="e">
        <f t="shared" si="8"/>
        <v>#N/A</v>
      </c>
    </row>
    <row r="141" spans="6:9" x14ac:dyDescent="0.3">
      <c r="F141" t="s">
        <v>367</v>
      </c>
      <c r="G141" t="str">
        <f t="shared" si="6"/>
        <v>CDC02</v>
      </c>
      <c r="H141" t="str">
        <f t="shared" si="7"/>
        <v>PPM</v>
      </c>
      <c r="I141" t="e">
        <f t="shared" si="8"/>
        <v>#N/A</v>
      </c>
    </row>
    <row r="142" spans="6:9" x14ac:dyDescent="0.3">
      <c r="F142" t="s">
        <v>368</v>
      </c>
      <c r="G142" t="str">
        <f t="shared" si="6"/>
        <v>CDC03</v>
      </c>
      <c r="H142" t="str">
        <f t="shared" si="7"/>
        <v>PPM</v>
      </c>
      <c r="I142" t="e">
        <f t="shared" si="8"/>
        <v>#N/A</v>
      </c>
    </row>
    <row r="143" spans="6:9" x14ac:dyDescent="0.3">
      <c r="F143" t="s">
        <v>369</v>
      </c>
      <c r="G143" t="str">
        <f t="shared" si="6"/>
        <v>CDC05</v>
      </c>
      <c r="H143" t="str">
        <f t="shared" si="7"/>
        <v>PPM</v>
      </c>
      <c r="I143" t="e">
        <f t="shared" si="8"/>
        <v>#N/A</v>
      </c>
    </row>
    <row r="144" spans="6:9" x14ac:dyDescent="0.3">
      <c r="F144" t="s">
        <v>370</v>
      </c>
      <c r="G144" t="str">
        <f t="shared" si="6"/>
        <v>CDC06</v>
      </c>
      <c r="H144" t="str">
        <f t="shared" si="7"/>
        <v>PPM</v>
      </c>
      <c r="I144" t="e">
        <f t="shared" si="8"/>
        <v>#N/A</v>
      </c>
    </row>
    <row r="145" spans="6:9" x14ac:dyDescent="0.3">
      <c r="F145" t="s">
        <v>371</v>
      </c>
      <c r="G145" t="str">
        <f t="shared" si="6"/>
        <v>CDC07</v>
      </c>
      <c r="H145" t="str">
        <f t="shared" si="7"/>
        <v>PPM</v>
      </c>
      <c r="I145" t="e">
        <f t="shared" si="8"/>
        <v>#N/A</v>
      </c>
    </row>
    <row r="146" spans="6:9" x14ac:dyDescent="0.3">
      <c r="F146" t="s">
        <v>372</v>
      </c>
      <c r="G146" t="str">
        <f t="shared" si="6"/>
        <v>CDC08</v>
      </c>
      <c r="H146" t="str">
        <f t="shared" si="7"/>
        <v>PPM</v>
      </c>
      <c r="I146" t="e">
        <f t="shared" si="8"/>
        <v>#N/A</v>
      </c>
    </row>
    <row r="147" spans="6:9" x14ac:dyDescent="0.3">
      <c r="F147" t="s">
        <v>373</v>
      </c>
      <c r="G147" t="str">
        <f t="shared" si="6"/>
        <v>CDC09</v>
      </c>
      <c r="H147" t="str">
        <f t="shared" si="7"/>
        <v>PPM</v>
      </c>
      <c r="I147" t="e">
        <f t="shared" si="8"/>
        <v>#N/A</v>
      </c>
    </row>
    <row r="148" spans="6:9" x14ac:dyDescent="0.3">
      <c r="F148" t="s">
        <v>374</v>
      </c>
      <c r="G148" t="str">
        <f t="shared" si="6"/>
        <v>CDC10</v>
      </c>
      <c r="H148" t="str">
        <f t="shared" si="7"/>
        <v>PPM</v>
      </c>
      <c r="I148" t="e">
        <f t="shared" si="8"/>
        <v>#N/A</v>
      </c>
    </row>
    <row r="149" spans="6:9" x14ac:dyDescent="0.3">
      <c r="F149" t="s">
        <v>375</v>
      </c>
      <c r="G149" t="str">
        <f t="shared" si="6"/>
        <v>CDL01</v>
      </c>
      <c r="H149" t="str">
        <f t="shared" si="7"/>
        <v>PPM</v>
      </c>
      <c r="I149" t="e">
        <f t="shared" si="8"/>
        <v>#N/A</v>
      </c>
    </row>
    <row r="150" spans="6:9" x14ac:dyDescent="0.3">
      <c r="F150" t="s">
        <v>376</v>
      </c>
      <c r="G150" t="str">
        <f t="shared" si="6"/>
        <v>CDL02</v>
      </c>
      <c r="H150" t="str">
        <f t="shared" si="7"/>
        <v>PPM</v>
      </c>
      <c r="I150" t="e">
        <f t="shared" si="8"/>
        <v>#N/A</v>
      </c>
    </row>
    <row r="151" spans="6:9" x14ac:dyDescent="0.3">
      <c r="F151" t="s">
        <v>377</v>
      </c>
      <c r="G151" t="str">
        <f t="shared" si="6"/>
        <v>CDL03</v>
      </c>
      <c r="H151" t="str">
        <f t="shared" si="7"/>
        <v>PPM</v>
      </c>
      <c r="I151" t="e">
        <f t="shared" si="8"/>
        <v>#N/A</v>
      </c>
    </row>
    <row r="152" spans="6:9" x14ac:dyDescent="0.3">
      <c r="F152" t="s">
        <v>378</v>
      </c>
      <c r="G152" t="str">
        <f t="shared" si="6"/>
        <v>CCA01</v>
      </c>
      <c r="H152" t="str">
        <f t="shared" si="7"/>
        <v>PPV</v>
      </c>
      <c r="I152" t="e">
        <f t="shared" si="8"/>
        <v>#N/A</v>
      </c>
    </row>
    <row r="153" spans="6:9" x14ac:dyDescent="0.3">
      <c r="F153" t="s">
        <v>379</v>
      </c>
      <c r="G153" t="str">
        <f t="shared" si="6"/>
        <v>CCC01</v>
      </c>
      <c r="H153" t="str">
        <f t="shared" si="7"/>
        <v>PPV</v>
      </c>
      <c r="I153" t="e">
        <f t="shared" si="8"/>
        <v>#N/A</v>
      </c>
    </row>
    <row r="154" spans="6:9" x14ac:dyDescent="0.3">
      <c r="F154" t="s">
        <v>380</v>
      </c>
      <c r="G154" t="str">
        <f t="shared" si="6"/>
        <v>CCC02</v>
      </c>
      <c r="H154" t="str">
        <f t="shared" si="7"/>
        <v>PPV</v>
      </c>
      <c r="I154" t="e">
        <f t="shared" si="8"/>
        <v>#N/A</v>
      </c>
    </row>
    <row r="155" spans="6:9" x14ac:dyDescent="0.3">
      <c r="F155" t="s">
        <v>381</v>
      </c>
      <c r="G155" t="str">
        <f t="shared" si="6"/>
        <v>CCC03</v>
      </c>
      <c r="H155" t="str">
        <f t="shared" si="7"/>
        <v>PPV</v>
      </c>
      <c r="I155" t="e">
        <f t="shared" si="8"/>
        <v>#N/A</v>
      </c>
    </row>
    <row r="156" spans="6:9" x14ac:dyDescent="0.3">
      <c r="F156" t="s">
        <v>382</v>
      </c>
      <c r="G156" t="str">
        <f t="shared" si="6"/>
        <v>CCC05</v>
      </c>
      <c r="H156" t="str">
        <f t="shared" si="7"/>
        <v>PPV</v>
      </c>
      <c r="I156" t="e">
        <f t="shared" si="8"/>
        <v>#N/A</v>
      </c>
    </row>
    <row r="157" spans="6:9" x14ac:dyDescent="0.3">
      <c r="F157" t="s">
        <v>383</v>
      </c>
      <c r="G157" t="str">
        <f t="shared" si="6"/>
        <v>CCC06</v>
      </c>
      <c r="H157" t="str">
        <f t="shared" si="7"/>
        <v>PPV</v>
      </c>
      <c r="I157" t="e">
        <f t="shared" si="8"/>
        <v>#N/A</v>
      </c>
    </row>
    <row r="158" spans="6:9" x14ac:dyDescent="0.3">
      <c r="F158" t="s">
        <v>384</v>
      </c>
      <c r="G158" t="str">
        <f t="shared" si="6"/>
        <v>CCC07</v>
      </c>
      <c r="H158" t="str">
        <f t="shared" si="7"/>
        <v>PPV</v>
      </c>
      <c r="I158" t="e">
        <f t="shared" si="8"/>
        <v>#N/A</v>
      </c>
    </row>
    <row r="159" spans="6:9" x14ac:dyDescent="0.3">
      <c r="F159" t="s">
        <v>385</v>
      </c>
      <c r="G159" t="str">
        <f t="shared" si="6"/>
        <v>CCC08</v>
      </c>
      <c r="H159" t="str">
        <f t="shared" si="7"/>
        <v>PPV</v>
      </c>
      <c r="I159" t="e">
        <f t="shared" si="8"/>
        <v>#N/A</v>
      </c>
    </row>
    <row r="160" spans="6:9" x14ac:dyDescent="0.3">
      <c r="F160" t="s">
        <v>386</v>
      </c>
      <c r="G160" t="str">
        <f t="shared" si="6"/>
        <v>CCC09</v>
      </c>
      <c r="H160" t="str">
        <f t="shared" si="7"/>
        <v>PPV</v>
      </c>
      <c r="I160" t="e">
        <f t="shared" si="8"/>
        <v>#N/A</v>
      </c>
    </row>
    <row r="161" spans="6:9" x14ac:dyDescent="0.3">
      <c r="F161" t="s">
        <v>387</v>
      </c>
      <c r="G161" t="str">
        <f t="shared" si="6"/>
        <v>CCC10</v>
      </c>
      <c r="H161" t="str">
        <f t="shared" si="7"/>
        <v>PPV</v>
      </c>
      <c r="I161" t="e">
        <f t="shared" si="8"/>
        <v>#N/A</v>
      </c>
    </row>
    <row r="162" spans="6:9" x14ac:dyDescent="0.3">
      <c r="F162" t="s">
        <v>388</v>
      </c>
      <c r="G162" t="str">
        <f t="shared" si="6"/>
        <v>CCL01</v>
      </c>
      <c r="H162" t="str">
        <f t="shared" si="7"/>
        <v>PPV</v>
      </c>
      <c r="I162" t="e">
        <f t="shared" si="8"/>
        <v>#N/A</v>
      </c>
    </row>
    <row r="163" spans="6:9" x14ac:dyDescent="0.3">
      <c r="F163" t="s">
        <v>389</v>
      </c>
      <c r="G163" t="str">
        <f t="shared" si="6"/>
        <v>CCL02</v>
      </c>
      <c r="H163" t="str">
        <f t="shared" si="7"/>
        <v>PPV</v>
      </c>
      <c r="I163" t="e">
        <f t="shared" si="8"/>
        <v>#N/A</v>
      </c>
    </row>
    <row r="164" spans="6:9" x14ac:dyDescent="0.3">
      <c r="F164" s="4" t="s">
        <v>390</v>
      </c>
      <c r="G164" t="str">
        <f t="shared" si="6"/>
        <v>CCL03</v>
      </c>
      <c r="H164" t="str">
        <f t="shared" si="7"/>
        <v>PPV</v>
      </c>
      <c r="I164" t="e">
        <f t="shared" si="8"/>
        <v>#N/A</v>
      </c>
    </row>
    <row r="165" spans="6:9" x14ac:dyDescent="0.3">
      <c r="F165" s="4" t="s">
        <v>391</v>
      </c>
      <c r="G165" t="str">
        <f t="shared" si="6"/>
        <v>CDA01</v>
      </c>
      <c r="H165" t="str">
        <f t="shared" si="7"/>
        <v>PPV</v>
      </c>
      <c r="I165" t="e">
        <f t="shared" si="8"/>
        <v>#N/A</v>
      </c>
    </row>
    <row r="166" spans="6:9" x14ac:dyDescent="0.3">
      <c r="F166" t="s">
        <v>392</v>
      </c>
      <c r="G166" t="str">
        <f t="shared" si="6"/>
        <v>CDC01</v>
      </c>
      <c r="H166" t="str">
        <f t="shared" si="7"/>
        <v>PPV</v>
      </c>
      <c r="I166" t="e">
        <f t="shared" si="8"/>
        <v>#N/A</v>
      </c>
    </row>
    <row r="167" spans="6:9" x14ac:dyDescent="0.3">
      <c r="F167" t="s">
        <v>393</v>
      </c>
      <c r="G167" t="str">
        <f t="shared" si="6"/>
        <v>CDC02</v>
      </c>
      <c r="H167" t="str">
        <f t="shared" si="7"/>
        <v>PPV</v>
      </c>
      <c r="I167" t="e">
        <f t="shared" si="8"/>
        <v>#N/A</v>
      </c>
    </row>
    <row r="168" spans="6:9" x14ac:dyDescent="0.3">
      <c r="F168" t="s">
        <v>394</v>
      </c>
      <c r="G168" t="str">
        <f t="shared" si="6"/>
        <v>CDC03</v>
      </c>
      <c r="H168" t="str">
        <f t="shared" si="7"/>
        <v>PPV</v>
      </c>
      <c r="I168" t="e">
        <f t="shared" si="8"/>
        <v>#N/A</v>
      </c>
    </row>
    <row r="169" spans="6:9" x14ac:dyDescent="0.3">
      <c r="F169" t="s">
        <v>395</v>
      </c>
      <c r="G169" t="str">
        <f t="shared" si="6"/>
        <v>CDC05</v>
      </c>
      <c r="H169" t="str">
        <f t="shared" si="7"/>
        <v>PPV</v>
      </c>
      <c r="I169" t="e">
        <f t="shared" si="8"/>
        <v>#N/A</v>
      </c>
    </row>
    <row r="170" spans="6:9" x14ac:dyDescent="0.3">
      <c r="F170" t="s">
        <v>396</v>
      </c>
      <c r="G170" t="str">
        <f t="shared" si="6"/>
        <v>CDC06</v>
      </c>
      <c r="H170" t="str">
        <f t="shared" si="7"/>
        <v>PPV</v>
      </c>
      <c r="I170" t="e">
        <f t="shared" si="8"/>
        <v>#N/A</v>
      </c>
    </row>
    <row r="171" spans="6:9" x14ac:dyDescent="0.3">
      <c r="F171" t="s">
        <v>397</v>
      </c>
      <c r="G171" t="str">
        <f t="shared" si="6"/>
        <v>CDC07</v>
      </c>
      <c r="H171" t="str">
        <f t="shared" si="7"/>
        <v>PPV</v>
      </c>
      <c r="I171" t="e">
        <f t="shared" si="8"/>
        <v>#N/A</v>
      </c>
    </row>
    <row r="172" spans="6:9" x14ac:dyDescent="0.3">
      <c r="F172" t="s">
        <v>398</v>
      </c>
      <c r="G172" t="str">
        <f t="shared" si="6"/>
        <v>CDC08</v>
      </c>
      <c r="H172" t="str">
        <f t="shared" si="7"/>
        <v>PPV</v>
      </c>
      <c r="I172" t="e">
        <f t="shared" si="8"/>
        <v>#N/A</v>
      </c>
    </row>
    <row r="173" spans="6:9" x14ac:dyDescent="0.3">
      <c r="F173" t="s">
        <v>399</v>
      </c>
      <c r="G173" t="str">
        <f t="shared" si="6"/>
        <v>CDC09</v>
      </c>
      <c r="H173" t="str">
        <f t="shared" si="7"/>
        <v>PPV</v>
      </c>
      <c r="I173" t="e">
        <f t="shared" si="8"/>
        <v>#N/A</v>
      </c>
    </row>
    <row r="174" spans="6:9" x14ac:dyDescent="0.3">
      <c r="F174" t="s">
        <v>400</v>
      </c>
      <c r="G174" t="str">
        <f t="shared" si="6"/>
        <v>CDC10</v>
      </c>
      <c r="H174" t="str">
        <f t="shared" si="7"/>
        <v>PPV</v>
      </c>
      <c r="I174" t="e">
        <f t="shared" si="8"/>
        <v>#N/A</v>
      </c>
    </row>
    <row r="175" spans="6:9" x14ac:dyDescent="0.3">
      <c r="F175" t="s">
        <v>401</v>
      </c>
      <c r="G175" t="str">
        <f t="shared" si="6"/>
        <v>CDL01</v>
      </c>
      <c r="H175" t="str">
        <f t="shared" si="7"/>
        <v>PPV</v>
      </c>
      <c r="I175" t="e">
        <f t="shared" si="8"/>
        <v>#N/A</v>
      </c>
    </row>
    <row r="176" spans="6:9" x14ac:dyDescent="0.3">
      <c r="F176" t="s">
        <v>402</v>
      </c>
      <c r="G176" t="str">
        <f t="shared" si="6"/>
        <v>CDL02</v>
      </c>
      <c r="H176" t="str">
        <f t="shared" si="7"/>
        <v>PPV</v>
      </c>
      <c r="I176" t="e">
        <f t="shared" si="8"/>
        <v>#N/A</v>
      </c>
    </row>
    <row r="177" spans="6:9" x14ac:dyDescent="0.3">
      <c r="F177" t="s">
        <v>403</v>
      </c>
      <c r="G177" t="str">
        <f t="shared" si="6"/>
        <v>CDL03</v>
      </c>
      <c r="H177" t="str">
        <f t="shared" si="7"/>
        <v>PPV</v>
      </c>
      <c r="I177" t="e">
        <f t="shared" si="8"/>
        <v>#N/A</v>
      </c>
    </row>
    <row r="178" spans="6:9" x14ac:dyDescent="0.3">
      <c r="F178" t="s">
        <v>404</v>
      </c>
      <c r="G178" t="str">
        <f t="shared" si="6"/>
        <v>CCA01</v>
      </c>
      <c r="H178" t="str">
        <f t="shared" si="7"/>
        <v>PRM</v>
      </c>
      <c r="I178" t="e">
        <f t="shared" si="8"/>
        <v>#N/A</v>
      </c>
    </row>
    <row r="179" spans="6:9" x14ac:dyDescent="0.3">
      <c r="F179" t="s">
        <v>405</v>
      </c>
      <c r="G179" t="str">
        <f t="shared" si="6"/>
        <v>CCC01</v>
      </c>
      <c r="H179" t="str">
        <f t="shared" si="7"/>
        <v>PRM</v>
      </c>
      <c r="I179" t="e">
        <f t="shared" si="8"/>
        <v>#N/A</v>
      </c>
    </row>
    <row r="180" spans="6:9" x14ac:dyDescent="0.3">
      <c r="F180" t="s">
        <v>406</v>
      </c>
      <c r="G180" t="str">
        <f t="shared" si="6"/>
        <v>CCC02</v>
      </c>
      <c r="H180" t="str">
        <f t="shared" si="7"/>
        <v>PRM</v>
      </c>
      <c r="I180" t="e">
        <f t="shared" si="8"/>
        <v>#N/A</v>
      </c>
    </row>
    <row r="181" spans="6:9" x14ac:dyDescent="0.3">
      <c r="F181" t="s">
        <v>407</v>
      </c>
      <c r="G181" t="str">
        <f t="shared" si="6"/>
        <v>CCC03</v>
      </c>
      <c r="H181" t="str">
        <f t="shared" si="7"/>
        <v>PRM</v>
      </c>
      <c r="I181" t="e">
        <f t="shared" si="8"/>
        <v>#N/A</v>
      </c>
    </row>
    <row r="182" spans="6:9" x14ac:dyDescent="0.3">
      <c r="F182" t="s">
        <v>408</v>
      </c>
      <c r="G182" t="str">
        <f t="shared" si="6"/>
        <v>CCC05</v>
      </c>
      <c r="H182" t="str">
        <f t="shared" si="7"/>
        <v>PRM</v>
      </c>
      <c r="I182" t="e">
        <f t="shared" si="8"/>
        <v>#N/A</v>
      </c>
    </row>
    <row r="183" spans="6:9" x14ac:dyDescent="0.3">
      <c r="F183" t="s">
        <v>409</v>
      </c>
      <c r="G183" t="str">
        <f t="shared" si="6"/>
        <v>CCC06</v>
      </c>
      <c r="H183" t="str">
        <f t="shared" si="7"/>
        <v>PRM</v>
      </c>
      <c r="I183" t="e">
        <f t="shared" si="8"/>
        <v>#N/A</v>
      </c>
    </row>
    <row r="184" spans="6:9" x14ac:dyDescent="0.3">
      <c r="F184" t="s">
        <v>410</v>
      </c>
      <c r="G184" t="str">
        <f t="shared" si="6"/>
        <v>CCC07</v>
      </c>
      <c r="H184" t="str">
        <f t="shared" si="7"/>
        <v>PRM</v>
      </c>
      <c r="I184" t="e">
        <f t="shared" si="8"/>
        <v>#N/A</v>
      </c>
    </row>
    <row r="185" spans="6:9" x14ac:dyDescent="0.3">
      <c r="F185" t="s">
        <v>411</v>
      </c>
      <c r="G185" t="str">
        <f t="shared" si="6"/>
        <v>CCC08</v>
      </c>
      <c r="H185" t="str">
        <f t="shared" si="7"/>
        <v>PRM</v>
      </c>
      <c r="I185" t="e">
        <f t="shared" si="8"/>
        <v>#N/A</v>
      </c>
    </row>
    <row r="186" spans="6:9" x14ac:dyDescent="0.3">
      <c r="F186" t="s">
        <v>412</v>
      </c>
      <c r="G186" t="str">
        <f t="shared" si="6"/>
        <v>CCC09</v>
      </c>
      <c r="H186" t="str">
        <f t="shared" si="7"/>
        <v>PRM</v>
      </c>
      <c r="I186" t="e">
        <f t="shared" si="8"/>
        <v>#N/A</v>
      </c>
    </row>
    <row r="187" spans="6:9" x14ac:dyDescent="0.3">
      <c r="F187" t="s">
        <v>413</v>
      </c>
      <c r="G187" t="str">
        <f t="shared" si="6"/>
        <v>CCC10</v>
      </c>
      <c r="H187" t="str">
        <f t="shared" si="7"/>
        <v>PRM</v>
      </c>
      <c r="I187" t="e">
        <f t="shared" si="8"/>
        <v>#N/A</v>
      </c>
    </row>
    <row r="188" spans="6:9" x14ac:dyDescent="0.3">
      <c r="F188" t="s">
        <v>414</v>
      </c>
      <c r="G188" t="str">
        <f t="shared" si="6"/>
        <v>CCL01</v>
      </c>
      <c r="H188" t="str">
        <f t="shared" si="7"/>
        <v>PRM</v>
      </c>
      <c r="I188" t="e">
        <f t="shared" si="8"/>
        <v>#N/A</v>
      </c>
    </row>
    <row r="189" spans="6:9" x14ac:dyDescent="0.3">
      <c r="F189" t="s">
        <v>415</v>
      </c>
      <c r="G189" t="str">
        <f t="shared" si="6"/>
        <v>CCL02</v>
      </c>
      <c r="H189" t="str">
        <f t="shared" si="7"/>
        <v>PRM</v>
      </c>
      <c r="I189" t="e">
        <f t="shared" si="8"/>
        <v>#N/A</v>
      </c>
    </row>
    <row r="190" spans="6:9" x14ac:dyDescent="0.3">
      <c r="F190" t="s">
        <v>416</v>
      </c>
      <c r="G190" t="str">
        <f t="shared" si="6"/>
        <v>CCL03</v>
      </c>
      <c r="H190" t="str">
        <f t="shared" si="7"/>
        <v>PRM</v>
      </c>
      <c r="I190" t="e">
        <f t="shared" si="8"/>
        <v>#N/A</v>
      </c>
    </row>
    <row r="191" spans="6:9" x14ac:dyDescent="0.3">
      <c r="F191" t="s">
        <v>417</v>
      </c>
      <c r="G191" t="str">
        <f t="shared" si="6"/>
        <v>CDA01</v>
      </c>
      <c r="H191" t="str">
        <f t="shared" si="7"/>
        <v>PRM</v>
      </c>
      <c r="I191" t="e">
        <f t="shared" si="8"/>
        <v>#N/A</v>
      </c>
    </row>
    <row r="192" spans="6:9" x14ac:dyDescent="0.3">
      <c r="F192" t="s">
        <v>418</v>
      </c>
      <c r="G192" t="str">
        <f t="shared" si="6"/>
        <v>CDC01</v>
      </c>
      <c r="H192" t="str">
        <f t="shared" si="7"/>
        <v>PRM</v>
      </c>
      <c r="I192" t="e">
        <f t="shared" si="8"/>
        <v>#N/A</v>
      </c>
    </row>
    <row r="193" spans="6:9" x14ac:dyDescent="0.3">
      <c r="F193" t="s">
        <v>419</v>
      </c>
      <c r="G193" t="str">
        <f t="shared" si="6"/>
        <v>CDC02</v>
      </c>
      <c r="H193" t="str">
        <f t="shared" si="7"/>
        <v>PRM</v>
      </c>
      <c r="I193" t="e">
        <f t="shared" si="8"/>
        <v>#N/A</v>
      </c>
    </row>
    <row r="194" spans="6:9" x14ac:dyDescent="0.3">
      <c r="F194" t="s">
        <v>420</v>
      </c>
      <c r="G194" t="str">
        <f t="shared" si="6"/>
        <v>CDC03</v>
      </c>
      <c r="H194" t="str">
        <f t="shared" si="7"/>
        <v>PRM</v>
      </c>
      <c r="I194" t="e">
        <f t="shared" si="8"/>
        <v>#N/A</v>
      </c>
    </row>
    <row r="195" spans="6:9" x14ac:dyDescent="0.3">
      <c r="F195" t="s">
        <v>421</v>
      </c>
      <c r="G195" t="str">
        <f t="shared" ref="G195:G258" si="9">RIGHT(F195,5)</f>
        <v>CDC05</v>
      </c>
      <c r="H195" t="str">
        <f t="shared" ref="H195:H258" si="10">LEFT(F195,3)</f>
        <v>PRM</v>
      </c>
      <c r="I195" t="e">
        <f t="shared" ref="I195:I258" si="11">H195&amp;INDEX(A:A,MATCH(G195,J:J,0))</f>
        <v>#N/A</v>
      </c>
    </row>
    <row r="196" spans="6:9" x14ac:dyDescent="0.3">
      <c r="F196" t="s">
        <v>422</v>
      </c>
      <c r="G196" t="str">
        <f t="shared" si="9"/>
        <v>CDC06</v>
      </c>
      <c r="H196" t="str">
        <f t="shared" si="10"/>
        <v>PRM</v>
      </c>
      <c r="I196" t="e">
        <f t="shared" si="11"/>
        <v>#N/A</v>
      </c>
    </row>
    <row r="197" spans="6:9" x14ac:dyDescent="0.3">
      <c r="F197" t="s">
        <v>423</v>
      </c>
      <c r="G197" t="str">
        <f t="shared" si="9"/>
        <v>CDC07</v>
      </c>
      <c r="H197" t="str">
        <f t="shared" si="10"/>
        <v>PRM</v>
      </c>
      <c r="I197" t="e">
        <f t="shared" si="11"/>
        <v>#N/A</v>
      </c>
    </row>
    <row r="198" spans="6:9" x14ac:dyDescent="0.3">
      <c r="F198" t="s">
        <v>424</v>
      </c>
      <c r="G198" t="str">
        <f t="shared" si="9"/>
        <v>CDC08</v>
      </c>
      <c r="H198" t="str">
        <f t="shared" si="10"/>
        <v>PRM</v>
      </c>
      <c r="I198" t="e">
        <f t="shared" si="11"/>
        <v>#N/A</v>
      </c>
    </row>
    <row r="199" spans="6:9" x14ac:dyDescent="0.3">
      <c r="F199" t="s">
        <v>425</v>
      </c>
      <c r="G199" t="str">
        <f t="shared" si="9"/>
        <v>CDC09</v>
      </c>
      <c r="H199" t="str">
        <f t="shared" si="10"/>
        <v>PRM</v>
      </c>
      <c r="I199" t="e">
        <f t="shared" si="11"/>
        <v>#N/A</v>
      </c>
    </row>
    <row r="200" spans="6:9" x14ac:dyDescent="0.3">
      <c r="F200" t="s">
        <v>426</v>
      </c>
      <c r="G200" t="str">
        <f t="shared" si="9"/>
        <v>CDC10</v>
      </c>
      <c r="H200" t="str">
        <f t="shared" si="10"/>
        <v>PRM</v>
      </c>
      <c r="I200" t="e">
        <f t="shared" si="11"/>
        <v>#N/A</v>
      </c>
    </row>
    <row r="201" spans="6:9" x14ac:dyDescent="0.3">
      <c r="F201" t="s">
        <v>427</v>
      </c>
      <c r="G201" t="str">
        <f t="shared" si="9"/>
        <v>CDL01</v>
      </c>
      <c r="H201" t="str">
        <f t="shared" si="10"/>
        <v>PRM</v>
      </c>
      <c r="I201" t="e">
        <f t="shared" si="11"/>
        <v>#N/A</v>
      </c>
    </row>
    <row r="202" spans="6:9" x14ac:dyDescent="0.3">
      <c r="F202" t="s">
        <v>428</v>
      </c>
      <c r="G202" t="str">
        <f t="shared" si="9"/>
        <v>CDL02</v>
      </c>
      <c r="H202" t="str">
        <f t="shared" si="10"/>
        <v>PRM</v>
      </c>
      <c r="I202" t="e">
        <f t="shared" si="11"/>
        <v>#N/A</v>
      </c>
    </row>
    <row r="203" spans="6:9" x14ac:dyDescent="0.3">
      <c r="F203" t="s">
        <v>429</v>
      </c>
      <c r="G203" t="str">
        <f t="shared" si="9"/>
        <v>CDL03</v>
      </c>
      <c r="H203" t="str">
        <f t="shared" si="10"/>
        <v>PRM</v>
      </c>
      <c r="I203" t="e">
        <f t="shared" si="11"/>
        <v>#N/A</v>
      </c>
    </row>
    <row r="204" spans="6:9" x14ac:dyDescent="0.3">
      <c r="F204" t="s">
        <v>430</v>
      </c>
      <c r="G204" t="str">
        <f t="shared" si="9"/>
        <v>CCA01</v>
      </c>
      <c r="H204" t="str">
        <f t="shared" si="10"/>
        <v>PRV</v>
      </c>
      <c r="I204" t="e">
        <f t="shared" si="11"/>
        <v>#N/A</v>
      </c>
    </row>
    <row r="205" spans="6:9" x14ac:dyDescent="0.3">
      <c r="F205" t="s">
        <v>431</v>
      </c>
      <c r="G205" t="str">
        <f t="shared" si="9"/>
        <v>CCC01</v>
      </c>
      <c r="H205" t="str">
        <f t="shared" si="10"/>
        <v>PRV</v>
      </c>
      <c r="I205" t="e">
        <f t="shared" si="11"/>
        <v>#N/A</v>
      </c>
    </row>
    <row r="206" spans="6:9" x14ac:dyDescent="0.3">
      <c r="F206" s="4" t="s">
        <v>432</v>
      </c>
      <c r="G206" t="str">
        <f t="shared" si="9"/>
        <v>CCC02</v>
      </c>
      <c r="H206" t="str">
        <f t="shared" si="10"/>
        <v>PRV</v>
      </c>
      <c r="I206" t="e">
        <f t="shared" si="11"/>
        <v>#N/A</v>
      </c>
    </row>
    <row r="207" spans="6:9" x14ac:dyDescent="0.3">
      <c r="F207" s="4" t="s">
        <v>433</v>
      </c>
      <c r="G207" t="str">
        <f t="shared" si="9"/>
        <v>CCC03</v>
      </c>
      <c r="H207" t="str">
        <f t="shared" si="10"/>
        <v>PRV</v>
      </c>
      <c r="I207" t="e">
        <f t="shared" si="11"/>
        <v>#N/A</v>
      </c>
    </row>
    <row r="208" spans="6:9" x14ac:dyDescent="0.3">
      <c r="F208" t="s">
        <v>434</v>
      </c>
      <c r="G208" t="str">
        <f t="shared" si="9"/>
        <v>CCC05</v>
      </c>
      <c r="H208" t="str">
        <f t="shared" si="10"/>
        <v>PRV</v>
      </c>
      <c r="I208" t="e">
        <f t="shared" si="11"/>
        <v>#N/A</v>
      </c>
    </row>
    <row r="209" spans="6:9" x14ac:dyDescent="0.3">
      <c r="F209" t="s">
        <v>435</v>
      </c>
      <c r="G209" t="str">
        <f t="shared" si="9"/>
        <v>CCC06</v>
      </c>
      <c r="H209" t="str">
        <f t="shared" si="10"/>
        <v>PRV</v>
      </c>
      <c r="I209" t="e">
        <f t="shared" si="11"/>
        <v>#N/A</v>
      </c>
    </row>
    <row r="210" spans="6:9" x14ac:dyDescent="0.3">
      <c r="F210" t="s">
        <v>436</v>
      </c>
      <c r="G210" t="str">
        <f t="shared" si="9"/>
        <v>CCC07</v>
      </c>
      <c r="H210" t="str">
        <f t="shared" si="10"/>
        <v>PRV</v>
      </c>
      <c r="I210" t="e">
        <f t="shared" si="11"/>
        <v>#N/A</v>
      </c>
    </row>
    <row r="211" spans="6:9" x14ac:dyDescent="0.3">
      <c r="F211" t="s">
        <v>437</v>
      </c>
      <c r="G211" t="str">
        <f t="shared" si="9"/>
        <v>CCC08</v>
      </c>
      <c r="H211" t="str">
        <f t="shared" si="10"/>
        <v>PRV</v>
      </c>
      <c r="I211" t="e">
        <f t="shared" si="11"/>
        <v>#N/A</v>
      </c>
    </row>
    <row r="212" spans="6:9" x14ac:dyDescent="0.3">
      <c r="F212" t="s">
        <v>438</v>
      </c>
      <c r="G212" t="str">
        <f t="shared" si="9"/>
        <v>CCC09</v>
      </c>
      <c r="H212" t="str">
        <f t="shared" si="10"/>
        <v>PRV</v>
      </c>
      <c r="I212" t="e">
        <f t="shared" si="11"/>
        <v>#N/A</v>
      </c>
    </row>
    <row r="213" spans="6:9" x14ac:dyDescent="0.3">
      <c r="F213" t="s">
        <v>439</v>
      </c>
      <c r="G213" t="str">
        <f t="shared" si="9"/>
        <v>CCC10</v>
      </c>
      <c r="H213" t="str">
        <f t="shared" si="10"/>
        <v>PRV</v>
      </c>
      <c r="I213" t="e">
        <f t="shared" si="11"/>
        <v>#N/A</v>
      </c>
    </row>
    <row r="214" spans="6:9" x14ac:dyDescent="0.3">
      <c r="F214" t="s">
        <v>440</v>
      </c>
      <c r="G214" t="str">
        <f t="shared" si="9"/>
        <v>CCL01</v>
      </c>
      <c r="H214" t="str">
        <f t="shared" si="10"/>
        <v>PRV</v>
      </c>
      <c r="I214" t="e">
        <f t="shared" si="11"/>
        <v>#N/A</v>
      </c>
    </row>
    <row r="215" spans="6:9" x14ac:dyDescent="0.3">
      <c r="F215" t="s">
        <v>441</v>
      </c>
      <c r="G215" t="str">
        <f t="shared" si="9"/>
        <v>CCL02</v>
      </c>
      <c r="H215" t="str">
        <f t="shared" si="10"/>
        <v>PRV</v>
      </c>
      <c r="I215" t="e">
        <f t="shared" si="11"/>
        <v>#N/A</v>
      </c>
    </row>
    <row r="216" spans="6:9" x14ac:dyDescent="0.3">
      <c r="F216" t="s">
        <v>442</v>
      </c>
      <c r="G216" t="str">
        <f t="shared" si="9"/>
        <v>CCL03</v>
      </c>
      <c r="H216" t="str">
        <f t="shared" si="10"/>
        <v>PRV</v>
      </c>
      <c r="I216" t="e">
        <f t="shared" si="11"/>
        <v>#N/A</v>
      </c>
    </row>
    <row r="217" spans="6:9" x14ac:dyDescent="0.3">
      <c r="F217" t="s">
        <v>443</v>
      </c>
      <c r="G217" t="str">
        <f t="shared" si="9"/>
        <v>CDA01</v>
      </c>
      <c r="H217" t="str">
        <f t="shared" si="10"/>
        <v>PRV</v>
      </c>
      <c r="I217" t="e">
        <f t="shared" si="11"/>
        <v>#N/A</v>
      </c>
    </row>
    <row r="218" spans="6:9" x14ac:dyDescent="0.3">
      <c r="F218" t="s">
        <v>444</v>
      </c>
      <c r="G218" t="str">
        <f t="shared" si="9"/>
        <v>CDC01</v>
      </c>
      <c r="H218" t="str">
        <f t="shared" si="10"/>
        <v>PRV</v>
      </c>
      <c r="I218" t="e">
        <f t="shared" si="11"/>
        <v>#N/A</v>
      </c>
    </row>
    <row r="219" spans="6:9" x14ac:dyDescent="0.3">
      <c r="F219" t="s">
        <v>445</v>
      </c>
      <c r="G219" t="str">
        <f t="shared" si="9"/>
        <v>CDC02</v>
      </c>
      <c r="H219" t="str">
        <f t="shared" si="10"/>
        <v>PRV</v>
      </c>
      <c r="I219" t="e">
        <f t="shared" si="11"/>
        <v>#N/A</v>
      </c>
    </row>
    <row r="220" spans="6:9" x14ac:dyDescent="0.3">
      <c r="F220" t="s">
        <v>446</v>
      </c>
      <c r="G220" t="str">
        <f t="shared" si="9"/>
        <v>CDC03</v>
      </c>
      <c r="H220" t="str">
        <f t="shared" si="10"/>
        <v>PRV</v>
      </c>
      <c r="I220" t="e">
        <f t="shared" si="11"/>
        <v>#N/A</v>
      </c>
    </row>
    <row r="221" spans="6:9" x14ac:dyDescent="0.3">
      <c r="F221" t="s">
        <v>447</v>
      </c>
      <c r="G221" t="str">
        <f t="shared" si="9"/>
        <v>CDC05</v>
      </c>
      <c r="H221" t="str">
        <f t="shared" si="10"/>
        <v>PRV</v>
      </c>
      <c r="I221" t="e">
        <f t="shared" si="11"/>
        <v>#N/A</v>
      </c>
    </row>
    <row r="222" spans="6:9" x14ac:dyDescent="0.3">
      <c r="F222" t="s">
        <v>448</v>
      </c>
      <c r="G222" t="str">
        <f t="shared" si="9"/>
        <v>CDC06</v>
      </c>
      <c r="H222" t="str">
        <f t="shared" si="10"/>
        <v>PRV</v>
      </c>
      <c r="I222" t="e">
        <f t="shared" si="11"/>
        <v>#N/A</v>
      </c>
    </row>
    <row r="223" spans="6:9" x14ac:dyDescent="0.3">
      <c r="F223" t="s">
        <v>449</v>
      </c>
      <c r="G223" t="str">
        <f t="shared" si="9"/>
        <v>CDC07</v>
      </c>
      <c r="H223" t="str">
        <f t="shared" si="10"/>
        <v>PRV</v>
      </c>
      <c r="I223" t="e">
        <f t="shared" si="11"/>
        <v>#N/A</v>
      </c>
    </row>
    <row r="224" spans="6:9" x14ac:dyDescent="0.3">
      <c r="F224" t="s">
        <v>450</v>
      </c>
      <c r="G224" t="str">
        <f t="shared" si="9"/>
        <v>CDC08</v>
      </c>
      <c r="H224" t="str">
        <f t="shared" si="10"/>
        <v>PRV</v>
      </c>
      <c r="I224" t="e">
        <f t="shared" si="11"/>
        <v>#N/A</v>
      </c>
    </row>
    <row r="225" spans="6:9" x14ac:dyDescent="0.3">
      <c r="F225" t="s">
        <v>451</v>
      </c>
      <c r="G225" t="str">
        <f t="shared" si="9"/>
        <v>CDC09</v>
      </c>
      <c r="H225" t="str">
        <f t="shared" si="10"/>
        <v>PRV</v>
      </c>
      <c r="I225" t="e">
        <f t="shared" si="11"/>
        <v>#N/A</v>
      </c>
    </row>
    <row r="226" spans="6:9" x14ac:dyDescent="0.3">
      <c r="F226" t="s">
        <v>452</v>
      </c>
      <c r="G226" t="str">
        <f t="shared" si="9"/>
        <v>CDC10</v>
      </c>
      <c r="H226" t="str">
        <f t="shared" si="10"/>
        <v>PRV</v>
      </c>
      <c r="I226" t="e">
        <f t="shared" si="11"/>
        <v>#N/A</v>
      </c>
    </row>
    <row r="227" spans="6:9" x14ac:dyDescent="0.3">
      <c r="F227" t="s">
        <v>453</v>
      </c>
      <c r="G227" t="str">
        <f t="shared" si="9"/>
        <v>CDL01</v>
      </c>
      <c r="H227" t="str">
        <f t="shared" si="10"/>
        <v>PRV</v>
      </c>
      <c r="I227" t="e">
        <f t="shared" si="11"/>
        <v>#N/A</v>
      </c>
    </row>
    <row r="228" spans="6:9" x14ac:dyDescent="0.3">
      <c r="F228" t="s">
        <v>454</v>
      </c>
      <c r="G228" t="str">
        <f t="shared" si="9"/>
        <v>CDL02</v>
      </c>
      <c r="H228" t="str">
        <f t="shared" si="10"/>
        <v>PRV</v>
      </c>
      <c r="I228" t="e">
        <f t="shared" si="11"/>
        <v>#N/A</v>
      </c>
    </row>
    <row r="229" spans="6:9" x14ac:dyDescent="0.3">
      <c r="F229" t="s">
        <v>455</v>
      </c>
      <c r="G229" t="str">
        <f t="shared" si="9"/>
        <v>CDL03</v>
      </c>
      <c r="H229" t="str">
        <f t="shared" si="10"/>
        <v>PRV</v>
      </c>
      <c r="I229" t="e">
        <f t="shared" si="11"/>
        <v>#N/A</v>
      </c>
    </row>
    <row r="230" spans="6:9" x14ac:dyDescent="0.3">
      <c r="F230" t="s">
        <v>456</v>
      </c>
      <c r="G230" t="str">
        <f t="shared" si="9"/>
        <v>DLV01</v>
      </c>
      <c r="H230" t="str">
        <f t="shared" si="10"/>
        <v>PVD</v>
      </c>
      <c r="I230" t="e">
        <f t="shared" si="11"/>
        <v>#N/A</v>
      </c>
    </row>
    <row r="231" spans="6:9" x14ac:dyDescent="0.3">
      <c r="F231" t="s">
        <v>457</v>
      </c>
      <c r="G231" t="str">
        <f t="shared" si="9"/>
        <v>CREBT</v>
      </c>
      <c r="H231" t="str">
        <f t="shared" si="10"/>
        <v>MDC</v>
      </c>
      <c r="I231" t="e">
        <f t="shared" si="11"/>
        <v>#N/A</v>
      </c>
    </row>
    <row r="232" spans="6:9" x14ac:dyDescent="0.3">
      <c r="F232" t="s">
        <v>458</v>
      </c>
      <c r="G232" t="str">
        <f t="shared" si="9"/>
        <v>BCVIY</v>
      </c>
      <c r="H232" t="str">
        <f t="shared" si="10"/>
        <v>ACA</v>
      </c>
      <c r="I232" t="str">
        <f t="shared" si="11"/>
        <v>ACAVID2</v>
      </c>
    </row>
    <row r="233" spans="6:9" x14ac:dyDescent="0.3">
      <c r="F233" t="s">
        <v>459</v>
      </c>
      <c r="G233" t="str">
        <f t="shared" si="9"/>
        <v>BCVIY</v>
      </c>
      <c r="H233" t="str">
        <f t="shared" si="10"/>
        <v>AOC</v>
      </c>
      <c r="I233" t="str">
        <f t="shared" si="11"/>
        <v>AOCVID2</v>
      </c>
    </row>
    <row r="234" spans="6:9" x14ac:dyDescent="0.3">
      <c r="F234" t="s">
        <v>460</v>
      </c>
      <c r="G234" t="str">
        <f t="shared" si="9"/>
        <v>BCVIY</v>
      </c>
      <c r="H234" t="str">
        <f t="shared" si="10"/>
        <v>APC</v>
      </c>
      <c r="I234" t="str">
        <f t="shared" si="11"/>
        <v>APCVID2</v>
      </c>
    </row>
    <row r="235" spans="6:9" x14ac:dyDescent="0.3">
      <c r="F235" t="s">
        <v>461</v>
      </c>
      <c r="G235" t="str">
        <f t="shared" si="9"/>
        <v>BCVIY</v>
      </c>
      <c r="H235" t="str">
        <f t="shared" si="10"/>
        <v>APU</v>
      </c>
      <c r="I235" t="str">
        <f t="shared" si="11"/>
        <v>APUVID2</v>
      </c>
    </row>
    <row r="236" spans="6:9" x14ac:dyDescent="0.3">
      <c r="F236" t="s">
        <v>462</v>
      </c>
      <c r="G236" t="str">
        <f t="shared" si="9"/>
        <v>BCVIY</v>
      </c>
      <c r="H236" t="str">
        <f t="shared" si="10"/>
        <v>ARF</v>
      </c>
      <c r="I236" t="str">
        <f t="shared" si="11"/>
        <v>ARFVID2</v>
      </c>
    </row>
    <row r="237" spans="6:9" x14ac:dyDescent="0.3">
      <c r="F237" t="s">
        <v>463</v>
      </c>
      <c r="G237" t="str">
        <f t="shared" si="9"/>
        <v>DECOM</v>
      </c>
      <c r="H237" t="str">
        <f t="shared" si="10"/>
        <v>ACA</v>
      </c>
      <c r="I237" t="str">
        <f t="shared" si="11"/>
        <v>ACAVID3</v>
      </c>
    </row>
    <row r="238" spans="6:9" x14ac:dyDescent="0.3">
      <c r="F238" t="s">
        <v>464</v>
      </c>
      <c r="G238" t="str">
        <f t="shared" si="9"/>
        <v>DECOM</v>
      </c>
      <c r="H238" t="str">
        <f t="shared" si="10"/>
        <v>AOC</v>
      </c>
      <c r="I238" t="str">
        <f t="shared" si="11"/>
        <v>AOCVID3</v>
      </c>
    </row>
    <row r="239" spans="6:9" x14ac:dyDescent="0.3">
      <c r="F239" t="s">
        <v>465</v>
      </c>
      <c r="G239" t="str">
        <f t="shared" si="9"/>
        <v>DECOM</v>
      </c>
      <c r="H239" t="str">
        <f t="shared" si="10"/>
        <v>APC</v>
      </c>
      <c r="I239" t="str">
        <f t="shared" si="11"/>
        <v>APCVID3</v>
      </c>
    </row>
    <row r="240" spans="6:9" x14ac:dyDescent="0.3">
      <c r="F240" t="s">
        <v>466</v>
      </c>
      <c r="G240" t="str">
        <f t="shared" si="9"/>
        <v>DECOM</v>
      </c>
      <c r="H240" t="str">
        <f t="shared" si="10"/>
        <v>APU</v>
      </c>
      <c r="I240" t="str">
        <f t="shared" si="11"/>
        <v>APUVID3</v>
      </c>
    </row>
    <row r="241" spans="6:9" x14ac:dyDescent="0.3">
      <c r="F241" t="s">
        <v>467</v>
      </c>
      <c r="G241" t="str">
        <f t="shared" si="9"/>
        <v>DECOM</v>
      </c>
      <c r="H241" t="str">
        <f t="shared" si="10"/>
        <v>ARF</v>
      </c>
      <c r="I241" t="str">
        <f t="shared" si="11"/>
        <v>ARFVID3</v>
      </c>
    </row>
    <row r="242" spans="6:9" x14ac:dyDescent="0.3">
      <c r="F242" t="s">
        <v>468</v>
      </c>
      <c r="G242" t="str">
        <f t="shared" si="9"/>
        <v>PMCOM</v>
      </c>
      <c r="H242" t="str">
        <f t="shared" si="10"/>
        <v>ACA</v>
      </c>
      <c r="I242" t="str">
        <f t="shared" si="11"/>
        <v>ACAMCD6</v>
      </c>
    </row>
    <row r="243" spans="6:9" x14ac:dyDescent="0.3">
      <c r="F243" t="s">
        <v>469</v>
      </c>
      <c r="G243" t="str">
        <f t="shared" si="9"/>
        <v>PMCOM</v>
      </c>
      <c r="H243" t="str">
        <f t="shared" si="10"/>
        <v>AOC</v>
      </c>
      <c r="I243" t="str">
        <f t="shared" si="11"/>
        <v>AOCMCD6</v>
      </c>
    </row>
    <row r="244" spans="6:9" x14ac:dyDescent="0.3">
      <c r="F244" t="s">
        <v>470</v>
      </c>
      <c r="G244" t="str">
        <f t="shared" si="9"/>
        <v>PMCOM</v>
      </c>
      <c r="H244" t="str">
        <f t="shared" si="10"/>
        <v>APC</v>
      </c>
      <c r="I244" t="str">
        <f t="shared" si="11"/>
        <v>APCMCD6</v>
      </c>
    </row>
    <row r="245" spans="6:9" x14ac:dyDescent="0.3">
      <c r="F245" t="s">
        <v>471</v>
      </c>
      <c r="G245" t="str">
        <f t="shared" si="9"/>
        <v>PMCOM</v>
      </c>
      <c r="H245" t="str">
        <f t="shared" si="10"/>
        <v>APU</v>
      </c>
      <c r="I245" t="str">
        <f t="shared" si="11"/>
        <v>APUMCD6</v>
      </c>
    </row>
    <row r="246" spans="6:9" x14ac:dyDescent="0.3">
      <c r="F246" t="s">
        <v>472</v>
      </c>
      <c r="G246" t="str">
        <f t="shared" si="9"/>
        <v>PMCOM</v>
      </c>
      <c r="H246" t="str">
        <f t="shared" si="10"/>
        <v>ARF</v>
      </c>
      <c r="I246" t="str">
        <f t="shared" si="11"/>
        <v>ARFMCD6</v>
      </c>
    </row>
    <row r="247" spans="6:9" x14ac:dyDescent="0.3">
      <c r="F247" t="s">
        <v>473</v>
      </c>
      <c r="G247" t="str">
        <f t="shared" si="9"/>
        <v>PMINC</v>
      </c>
      <c r="H247" t="str">
        <f t="shared" si="10"/>
        <v>ACA</v>
      </c>
      <c r="I247" t="str">
        <f t="shared" si="11"/>
        <v>ACAMCD7</v>
      </c>
    </row>
    <row r="248" spans="6:9" x14ac:dyDescent="0.3">
      <c r="F248" t="s">
        <v>474</v>
      </c>
      <c r="G248" t="str">
        <f t="shared" si="9"/>
        <v>PMINC</v>
      </c>
      <c r="H248" t="str">
        <f t="shared" si="10"/>
        <v>AOC</v>
      </c>
      <c r="I248" t="str">
        <f t="shared" si="11"/>
        <v>AOCMCD7</v>
      </c>
    </row>
    <row r="249" spans="6:9" x14ac:dyDescent="0.3">
      <c r="F249" t="s">
        <v>475</v>
      </c>
      <c r="G249" t="str">
        <f t="shared" si="9"/>
        <v>PMINC</v>
      </c>
      <c r="H249" t="str">
        <f t="shared" si="10"/>
        <v>APC</v>
      </c>
      <c r="I249" t="str">
        <f t="shared" si="11"/>
        <v>APCMCD7</v>
      </c>
    </row>
    <row r="250" spans="6:9" x14ac:dyDescent="0.3">
      <c r="F250" t="s">
        <v>476</v>
      </c>
      <c r="G250" t="str">
        <f t="shared" si="9"/>
        <v>PMINC</v>
      </c>
      <c r="H250" t="str">
        <f t="shared" si="10"/>
        <v>APU</v>
      </c>
      <c r="I250" t="str">
        <f t="shared" si="11"/>
        <v>APUMCD7</v>
      </c>
    </row>
    <row r="251" spans="6:9" x14ac:dyDescent="0.3">
      <c r="F251" t="s">
        <v>477</v>
      </c>
      <c r="G251" t="str">
        <f t="shared" si="9"/>
        <v>PMINC</v>
      </c>
      <c r="H251" t="str">
        <f t="shared" si="10"/>
        <v>ARF</v>
      </c>
      <c r="I251" t="str">
        <f t="shared" si="11"/>
        <v>ARFMCD7</v>
      </c>
    </row>
    <row r="252" spans="6:9" x14ac:dyDescent="0.3">
      <c r="F252" t="s">
        <v>478</v>
      </c>
      <c r="G252" t="str">
        <f t="shared" si="9"/>
        <v>PMINP</v>
      </c>
      <c r="H252" t="str">
        <f t="shared" si="10"/>
        <v>ACA</v>
      </c>
      <c r="I252" t="str">
        <f t="shared" si="11"/>
        <v>ACAMCD9</v>
      </c>
    </row>
    <row r="253" spans="6:9" x14ac:dyDescent="0.3">
      <c r="F253" t="s">
        <v>479</v>
      </c>
      <c r="G253" t="str">
        <f t="shared" si="9"/>
        <v>PMINP</v>
      </c>
      <c r="H253" t="str">
        <f t="shared" si="10"/>
        <v>AOC</v>
      </c>
      <c r="I253" t="str">
        <f t="shared" si="11"/>
        <v>AOCMCD9</v>
      </c>
    </row>
    <row r="254" spans="6:9" x14ac:dyDescent="0.3">
      <c r="F254" t="s">
        <v>480</v>
      </c>
      <c r="G254" t="str">
        <f t="shared" si="9"/>
        <v>PMINP</v>
      </c>
      <c r="H254" t="str">
        <f t="shared" si="10"/>
        <v>APC</v>
      </c>
      <c r="I254" t="str">
        <f t="shared" si="11"/>
        <v>APCMCD9</v>
      </c>
    </row>
    <row r="255" spans="6:9" x14ac:dyDescent="0.3">
      <c r="F255" t="s">
        <v>481</v>
      </c>
      <c r="G255" t="str">
        <f t="shared" si="9"/>
        <v>PMINP</v>
      </c>
      <c r="H255" t="str">
        <f t="shared" si="10"/>
        <v>APU</v>
      </c>
      <c r="I255" t="str">
        <f t="shared" si="11"/>
        <v>APUMCD9</v>
      </c>
    </row>
    <row r="256" spans="6:9" x14ac:dyDescent="0.3">
      <c r="F256" t="s">
        <v>482</v>
      </c>
      <c r="G256" t="str">
        <f t="shared" si="9"/>
        <v>PMINP</v>
      </c>
      <c r="H256" t="str">
        <f t="shared" si="10"/>
        <v>ARF</v>
      </c>
      <c r="I256" t="str">
        <f t="shared" si="11"/>
        <v>ARFMCD9</v>
      </c>
    </row>
    <row r="257" spans="6:9" x14ac:dyDescent="0.3">
      <c r="F257" t="s">
        <v>483</v>
      </c>
      <c r="G257" t="str">
        <f t="shared" si="9"/>
        <v>DMMCY</v>
      </c>
      <c r="H257" t="str">
        <f t="shared" si="10"/>
        <v>ACA</v>
      </c>
      <c r="I257" t="str">
        <f t="shared" si="11"/>
        <v>ACAMCD4</v>
      </c>
    </row>
    <row r="258" spans="6:9" x14ac:dyDescent="0.3">
      <c r="F258" t="s">
        <v>484</v>
      </c>
      <c r="G258" t="str">
        <f t="shared" si="9"/>
        <v>DMMCY</v>
      </c>
      <c r="H258" t="str">
        <f t="shared" si="10"/>
        <v>AOC</v>
      </c>
      <c r="I258" t="str">
        <f t="shared" si="11"/>
        <v>AOCMCD4</v>
      </c>
    </row>
    <row r="259" spans="6:9" x14ac:dyDescent="0.3">
      <c r="F259" t="s">
        <v>485</v>
      </c>
      <c r="G259" t="str">
        <f t="shared" ref="G259:G322" si="12">RIGHT(F259,5)</f>
        <v>DMMCY</v>
      </c>
      <c r="H259" t="str">
        <f t="shared" ref="H259:H322" si="13">LEFT(F259,3)</f>
        <v>APC</v>
      </c>
      <c r="I259" t="str">
        <f t="shared" ref="I259:I322" si="14">H259&amp;INDEX(A:A,MATCH(G259,J:J,0))</f>
        <v>APCMCD4</v>
      </c>
    </row>
    <row r="260" spans="6:9" x14ac:dyDescent="0.3">
      <c r="F260" t="s">
        <v>486</v>
      </c>
      <c r="G260" t="str">
        <f t="shared" si="12"/>
        <v>DMMCY</v>
      </c>
      <c r="H260" t="str">
        <f t="shared" si="13"/>
        <v>APU</v>
      </c>
      <c r="I260" t="str">
        <f t="shared" si="14"/>
        <v>APUMCD4</v>
      </c>
    </row>
    <row r="261" spans="6:9" x14ac:dyDescent="0.3">
      <c r="F261" t="s">
        <v>487</v>
      </c>
      <c r="G261" t="str">
        <f t="shared" si="12"/>
        <v>DMMCY</v>
      </c>
      <c r="H261" t="str">
        <f t="shared" si="13"/>
        <v>ARF</v>
      </c>
      <c r="I261" t="str">
        <f t="shared" si="14"/>
        <v>ARFMCD4</v>
      </c>
    </row>
    <row r="262" spans="6:9" x14ac:dyDescent="0.3">
      <c r="F262" t="s">
        <v>488</v>
      </c>
      <c r="G262" t="str">
        <f t="shared" si="12"/>
        <v>PEVIY</v>
      </c>
      <c r="H262" t="str">
        <f t="shared" si="13"/>
        <v>ACA</v>
      </c>
      <c r="I262" t="str">
        <f t="shared" si="14"/>
        <v>ACAVID6</v>
      </c>
    </row>
    <row r="263" spans="6:9" x14ac:dyDescent="0.3">
      <c r="F263" t="s">
        <v>489</v>
      </c>
      <c r="G263" t="str">
        <f t="shared" si="12"/>
        <v>PEVIY</v>
      </c>
      <c r="H263" t="str">
        <f t="shared" si="13"/>
        <v>AOC</v>
      </c>
      <c r="I263" t="str">
        <f t="shared" si="14"/>
        <v>AOCVID6</v>
      </c>
    </row>
    <row r="264" spans="6:9" x14ac:dyDescent="0.3">
      <c r="F264" t="s">
        <v>490</v>
      </c>
      <c r="G264" t="str">
        <f t="shared" si="12"/>
        <v>PEVIY</v>
      </c>
      <c r="H264" t="str">
        <f t="shared" si="13"/>
        <v>APC</v>
      </c>
      <c r="I264" t="str">
        <f t="shared" si="14"/>
        <v>APCVID6</v>
      </c>
    </row>
    <row r="265" spans="6:9" x14ac:dyDescent="0.3">
      <c r="F265" t="s">
        <v>491</v>
      </c>
      <c r="G265" t="str">
        <f t="shared" si="12"/>
        <v>PEVIY</v>
      </c>
      <c r="H265" t="str">
        <f t="shared" si="13"/>
        <v>APU</v>
      </c>
      <c r="I265" t="str">
        <f t="shared" si="14"/>
        <v>APUVID6</v>
      </c>
    </row>
    <row r="266" spans="6:9" x14ac:dyDescent="0.3">
      <c r="F266" t="s">
        <v>492</v>
      </c>
      <c r="G266" t="str">
        <f t="shared" si="12"/>
        <v>PEVIY</v>
      </c>
      <c r="H266" t="str">
        <f t="shared" si="13"/>
        <v>ARF</v>
      </c>
      <c r="I266" t="str">
        <f t="shared" si="14"/>
        <v>ARFVID6</v>
      </c>
    </row>
    <row r="267" spans="6:9" x14ac:dyDescent="0.3">
      <c r="F267" t="s">
        <v>493</v>
      </c>
      <c r="G267" t="str">
        <f t="shared" si="12"/>
        <v>PECRE</v>
      </c>
      <c r="H267" t="str">
        <f t="shared" si="13"/>
        <v>ACA</v>
      </c>
      <c r="I267" t="str">
        <f t="shared" si="14"/>
        <v>ACAVIC1</v>
      </c>
    </row>
    <row r="268" spans="6:9" x14ac:dyDescent="0.3">
      <c r="F268" t="s">
        <v>494</v>
      </c>
      <c r="G268" t="str">
        <f t="shared" si="12"/>
        <v>PECRE</v>
      </c>
      <c r="H268" t="str">
        <f t="shared" si="13"/>
        <v>AOC</v>
      </c>
      <c r="I268" t="str">
        <f t="shared" si="14"/>
        <v>AOCVIC1</v>
      </c>
    </row>
    <row r="269" spans="6:9" x14ac:dyDescent="0.3">
      <c r="F269" t="s">
        <v>495</v>
      </c>
      <c r="G269" t="str">
        <f t="shared" si="12"/>
        <v>PECRE</v>
      </c>
      <c r="H269" t="str">
        <f t="shared" si="13"/>
        <v>APC</v>
      </c>
      <c r="I269" t="str">
        <f t="shared" si="14"/>
        <v>APCVIC1</v>
      </c>
    </row>
    <row r="270" spans="6:9" x14ac:dyDescent="0.3">
      <c r="F270" t="s">
        <v>496</v>
      </c>
      <c r="G270" t="str">
        <f t="shared" si="12"/>
        <v>PECRE</v>
      </c>
      <c r="H270" t="str">
        <f t="shared" si="13"/>
        <v>APU</v>
      </c>
      <c r="I270" t="str">
        <f t="shared" si="14"/>
        <v>APUVIC1</v>
      </c>
    </row>
    <row r="271" spans="6:9" x14ac:dyDescent="0.3">
      <c r="F271" t="s">
        <v>497</v>
      </c>
      <c r="G271" t="str">
        <f t="shared" si="12"/>
        <v>PECRE</v>
      </c>
      <c r="H271" t="str">
        <f t="shared" si="13"/>
        <v>ARF</v>
      </c>
      <c r="I271" t="str">
        <f t="shared" si="14"/>
        <v>ARFVIC1</v>
      </c>
    </row>
    <row r="272" spans="6:9" x14ac:dyDescent="0.3">
      <c r="F272" t="s">
        <v>498</v>
      </c>
      <c r="G272" t="str">
        <f t="shared" si="12"/>
        <v>DMCOM</v>
      </c>
      <c r="H272" t="str">
        <f t="shared" si="13"/>
        <v>ACA</v>
      </c>
      <c r="I272" t="str">
        <f t="shared" si="14"/>
        <v>ACAMCD5</v>
      </c>
    </row>
    <row r="273" spans="6:9" x14ac:dyDescent="0.3">
      <c r="F273" t="s">
        <v>499</v>
      </c>
      <c r="G273" t="str">
        <f t="shared" si="12"/>
        <v>DMCOM</v>
      </c>
      <c r="H273" t="str">
        <f t="shared" si="13"/>
        <v>AOC</v>
      </c>
      <c r="I273" t="str">
        <f t="shared" si="14"/>
        <v>AOCMCD5</v>
      </c>
    </row>
    <row r="274" spans="6:9" x14ac:dyDescent="0.3">
      <c r="F274" t="s">
        <v>500</v>
      </c>
      <c r="G274" t="str">
        <f t="shared" si="12"/>
        <v>DMCOM</v>
      </c>
      <c r="H274" t="str">
        <f t="shared" si="13"/>
        <v>APC</v>
      </c>
      <c r="I274" t="str">
        <f t="shared" si="14"/>
        <v>APCMCD5</v>
      </c>
    </row>
    <row r="275" spans="6:9" x14ac:dyDescent="0.3">
      <c r="F275" t="s">
        <v>501</v>
      </c>
      <c r="G275" t="str">
        <f t="shared" si="12"/>
        <v>DMCOM</v>
      </c>
      <c r="H275" t="str">
        <f t="shared" si="13"/>
        <v>APU</v>
      </c>
      <c r="I275" t="str">
        <f t="shared" si="14"/>
        <v>APUMCD5</v>
      </c>
    </row>
    <row r="276" spans="6:9" x14ac:dyDescent="0.3">
      <c r="F276" t="s">
        <v>502</v>
      </c>
      <c r="G276" t="str">
        <f t="shared" si="12"/>
        <v>DMCOM</v>
      </c>
      <c r="H276" t="str">
        <f t="shared" si="13"/>
        <v>ARF</v>
      </c>
      <c r="I276" t="str">
        <f t="shared" si="14"/>
        <v>ARFMCD5</v>
      </c>
    </row>
    <row r="277" spans="6:9" x14ac:dyDescent="0.3">
      <c r="F277" t="s">
        <v>503</v>
      </c>
      <c r="G277" t="str">
        <f t="shared" si="12"/>
        <v>VP002</v>
      </c>
      <c r="H277" t="str">
        <f t="shared" si="13"/>
        <v>ACA</v>
      </c>
      <c r="I277" t="str">
        <f t="shared" si="14"/>
        <v>ACAMCC8</v>
      </c>
    </row>
    <row r="278" spans="6:9" x14ac:dyDescent="0.3">
      <c r="F278" t="s">
        <v>504</v>
      </c>
      <c r="G278" t="str">
        <f t="shared" si="12"/>
        <v>VP002</v>
      </c>
      <c r="H278" t="str">
        <f t="shared" si="13"/>
        <v>AOC</v>
      </c>
      <c r="I278" t="str">
        <f t="shared" si="14"/>
        <v>AOCMCC8</v>
      </c>
    </row>
    <row r="279" spans="6:9" x14ac:dyDescent="0.3">
      <c r="F279" t="s">
        <v>505</v>
      </c>
      <c r="G279" t="str">
        <f t="shared" si="12"/>
        <v>VP002</v>
      </c>
      <c r="H279" t="str">
        <f t="shared" si="13"/>
        <v>APC</v>
      </c>
      <c r="I279" t="str">
        <f t="shared" si="14"/>
        <v>APCMCC8</v>
      </c>
    </row>
    <row r="280" spans="6:9" x14ac:dyDescent="0.3">
      <c r="F280" t="s">
        <v>506</v>
      </c>
      <c r="G280" t="str">
        <f t="shared" si="12"/>
        <v>VP002</v>
      </c>
      <c r="H280" t="str">
        <f t="shared" si="13"/>
        <v>APU</v>
      </c>
      <c r="I280" t="str">
        <f t="shared" si="14"/>
        <v>APUMCC8</v>
      </c>
    </row>
    <row r="281" spans="6:9" x14ac:dyDescent="0.3">
      <c r="F281" t="s">
        <v>507</v>
      </c>
      <c r="G281" t="str">
        <f t="shared" si="12"/>
        <v>VP002</v>
      </c>
      <c r="H281" t="str">
        <f t="shared" si="13"/>
        <v>ARF</v>
      </c>
      <c r="I281" t="str">
        <f t="shared" si="14"/>
        <v>ARFMCC8</v>
      </c>
    </row>
    <row r="282" spans="6:9" x14ac:dyDescent="0.3">
      <c r="F282" s="20" t="s">
        <v>508</v>
      </c>
      <c r="G282" t="str">
        <f t="shared" si="12"/>
        <v>AC000</v>
      </c>
      <c r="H282" t="str">
        <f t="shared" si="13"/>
        <v>CBR</v>
      </c>
      <c r="I282" t="str">
        <f t="shared" si="14"/>
        <v>CBRMCC1</v>
      </c>
    </row>
    <row r="283" spans="6:9" x14ac:dyDescent="0.3">
      <c r="F283" s="20" t="s">
        <v>509</v>
      </c>
      <c r="G283" t="str">
        <f t="shared" si="12"/>
        <v>ACMCW</v>
      </c>
      <c r="H283" t="str">
        <f t="shared" si="13"/>
        <v>CBR</v>
      </c>
      <c r="I283" t="str">
        <f t="shared" si="14"/>
        <v>CBRMCC6</v>
      </c>
    </row>
    <row r="284" spans="6:9" x14ac:dyDescent="0.3">
      <c r="F284" s="20" t="s">
        <v>510</v>
      </c>
      <c r="G284" t="str">
        <f t="shared" si="12"/>
        <v>ACMCY</v>
      </c>
      <c r="H284" t="str">
        <f t="shared" si="13"/>
        <v>CBR</v>
      </c>
      <c r="I284" t="str">
        <f t="shared" si="14"/>
        <v>CBRMCD2</v>
      </c>
    </row>
    <row r="285" spans="6:9" x14ac:dyDescent="0.3">
      <c r="F285" s="20" t="s">
        <v>511</v>
      </c>
      <c r="G285" t="str">
        <f t="shared" si="12"/>
        <v>ACMNW</v>
      </c>
      <c r="H285" t="str">
        <f t="shared" si="13"/>
        <v>CBR</v>
      </c>
      <c r="I285" t="str">
        <f t="shared" si="14"/>
        <v>CBRMCC7</v>
      </c>
    </row>
    <row r="286" spans="6:9" x14ac:dyDescent="0.3">
      <c r="F286" s="20" t="s">
        <v>512</v>
      </c>
      <c r="G286" t="str">
        <f t="shared" si="12"/>
        <v>BC000</v>
      </c>
      <c r="H286" t="str">
        <f t="shared" si="13"/>
        <v>CBR</v>
      </c>
      <c r="I286" t="str">
        <f t="shared" si="14"/>
        <v>CBRVIC2</v>
      </c>
    </row>
    <row r="287" spans="6:9" x14ac:dyDescent="0.3">
      <c r="F287" s="30" t="s">
        <v>513</v>
      </c>
      <c r="G287" t="str">
        <f t="shared" si="12"/>
        <v>VPVIX</v>
      </c>
      <c r="H287" t="str">
        <f t="shared" si="13"/>
        <v>CBR</v>
      </c>
      <c r="I287" t="str">
        <f t="shared" si="14"/>
        <v>CBRVID4</v>
      </c>
    </row>
    <row r="288" spans="6:9" x14ac:dyDescent="0.3">
      <c r="F288" s="20" t="s">
        <v>514</v>
      </c>
      <c r="G288" t="str">
        <f t="shared" si="12"/>
        <v>BCVIY</v>
      </c>
      <c r="H288" t="str">
        <f t="shared" si="13"/>
        <v>CBR</v>
      </c>
      <c r="I288" t="str">
        <f t="shared" si="14"/>
        <v>CBRVID2</v>
      </c>
    </row>
    <row r="289" spans="6:9" x14ac:dyDescent="0.3">
      <c r="F289" s="20" t="s">
        <v>515</v>
      </c>
      <c r="G289" t="str">
        <f t="shared" si="12"/>
        <v>DC000</v>
      </c>
      <c r="H289" t="str">
        <f t="shared" si="13"/>
        <v>CBR</v>
      </c>
      <c r="I289" t="str">
        <f t="shared" si="14"/>
        <v>CBRDCD</v>
      </c>
    </row>
    <row r="290" spans="6:9" x14ac:dyDescent="0.3">
      <c r="F290" s="20" t="s">
        <v>516</v>
      </c>
      <c r="G290" t="str">
        <f t="shared" si="12"/>
        <v>DE000</v>
      </c>
      <c r="H290" t="str">
        <f t="shared" si="13"/>
        <v>CBR</v>
      </c>
      <c r="I290" t="str">
        <f t="shared" si="14"/>
        <v>CBRVID1</v>
      </c>
    </row>
    <row r="291" spans="6:9" x14ac:dyDescent="0.3">
      <c r="F291" s="20" t="s">
        <v>517</v>
      </c>
      <c r="G291" t="str">
        <f t="shared" si="12"/>
        <v>DECOM</v>
      </c>
      <c r="H291" t="str">
        <f t="shared" si="13"/>
        <v>CBR</v>
      </c>
      <c r="I291" t="str">
        <f t="shared" si="14"/>
        <v>CBRVID3</v>
      </c>
    </row>
    <row r="292" spans="6:9" x14ac:dyDescent="0.3">
      <c r="F292" s="20" t="s">
        <v>518</v>
      </c>
      <c r="G292" t="str">
        <f t="shared" si="12"/>
        <v>DM000</v>
      </c>
      <c r="H292" t="str">
        <f t="shared" si="13"/>
        <v>CBR</v>
      </c>
      <c r="I292" t="str">
        <f t="shared" si="14"/>
        <v>CBRMCD3</v>
      </c>
    </row>
    <row r="293" spans="6:9" x14ac:dyDescent="0.3">
      <c r="F293" s="20" t="s">
        <v>519</v>
      </c>
      <c r="G293" t="str">
        <f t="shared" si="12"/>
        <v>DMCOM</v>
      </c>
      <c r="H293" t="str">
        <f t="shared" si="13"/>
        <v>CBR</v>
      </c>
      <c r="I293" t="str">
        <f t="shared" si="14"/>
        <v>CBRMCD5</v>
      </c>
    </row>
    <row r="294" spans="6:9" x14ac:dyDescent="0.3">
      <c r="F294" s="20" t="s">
        <v>520</v>
      </c>
      <c r="G294" t="str">
        <f t="shared" si="12"/>
        <v>DMMCY</v>
      </c>
      <c r="H294" t="str">
        <f t="shared" si="13"/>
        <v>CBR</v>
      </c>
      <c r="I294" t="str">
        <f t="shared" si="14"/>
        <v>CBRMCD4</v>
      </c>
    </row>
    <row r="295" spans="6:9" x14ac:dyDescent="0.3">
      <c r="F295" s="20" t="s">
        <v>521</v>
      </c>
      <c r="G295" t="str">
        <f t="shared" si="12"/>
        <v>JC000</v>
      </c>
      <c r="H295" t="str">
        <f t="shared" si="13"/>
        <v>CBR</v>
      </c>
      <c r="I295" t="str">
        <f t="shared" si="14"/>
        <v>CBRJCB</v>
      </c>
    </row>
    <row r="296" spans="6:9" x14ac:dyDescent="0.3">
      <c r="F296" s="20" t="s">
        <v>522</v>
      </c>
      <c r="G296" t="str">
        <f t="shared" si="12"/>
        <v>PE000</v>
      </c>
      <c r="H296" t="str">
        <f t="shared" si="13"/>
        <v>CBR</v>
      </c>
      <c r="I296" t="str">
        <f t="shared" si="14"/>
        <v>CBRVID5</v>
      </c>
    </row>
    <row r="297" spans="6:9" x14ac:dyDescent="0.3">
      <c r="F297" s="20" t="s">
        <v>523</v>
      </c>
      <c r="G297" t="str">
        <f t="shared" si="12"/>
        <v>PECRE</v>
      </c>
      <c r="H297" t="str">
        <f t="shared" si="13"/>
        <v>CBR</v>
      </c>
      <c r="I297" t="str">
        <f t="shared" si="14"/>
        <v>CBRVIC1</v>
      </c>
    </row>
    <row r="298" spans="6:9" x14ac:dyDescent="0.3">
      <c r="F298" s="20" t="s">
        <v>524</v>
      </c>
      <c r="G298" t="str">
        <f t="shared" si="12"/>
        <v>PEVIY</v>
      </c>
      <c r="H298" t="str">
        <f t="shared" si="13"/>
        <v>CBR</v>
      </c>
      <c r="I298" t="str">
        <f t="shared" si="14"/>
        <v>CBRVID6</v>
      </c>
    </row>
    <row r="299" spans="6:9" x14ac:dyDescent="0.3">
      <c r="F299" s="30" t="s">
        <v>525</v>
      </c>
      <c r="G299" t="str">
        <f t="shared" si="12"/>
        <v>PMDOM</v>
      </c>
      <c r="H299" t="str">
        <f t="shared" si="13"/>
        <v>CBR</v>
      </c>
      <c r="I299" t="str">
        <f t="shared" si="14"/>
        <v>CBRMCD8</v>
      </c>
    </row>
    <row r="300" spans="6:9" x14ac:dyDescent="0.3">
      <c r="F300" s="20" t="s">
        <v>526</v>
      </c>
      <c r="G300" t="str">
        <f t="shared" si="12"/>
        <v>PMCOM</v>
      </c>
      <c r="H300" t="str">
        <f t="shared" si="13"/>
        <v>CBR</v>
      </c>
      <c r="I300" t="str">
        <f t="shared" si="14"/>
        <v>CBRMCD6</v>
      </c>
    </row>
    <row r="301" spans="6:9" x14ac:dyDescent="0.3">
      <c r="F301" s="20" t="s">
        <v>527</v>
      </c>
      <c r="G301" t="str">
        <f t="shared" si="12"/>
        <v>PMINC</v>
      </c>
      <c r="H301" t="str">
        <f t="shared" si="13"/>
        <v>CBR</v>
      </c>
      <c r="I301" t="str">
        <f t="shared" si="14"/>
        <v>CBRMCD7</v>
      </c>
    </row>
    <row r="302" spans="6:9" x14ac:dyDescent="0.3">
      <c r="F302" s="20" t="s">
        <v>528</v>
      </c>
      <c r="G302" t="str">
        <f t="shared" si="12"/>
        <v>PMINP</v>
      </c>
      <c r="H302" t="str">
        <f t="shared" si="13"/>
        <v>CBR</v>
      </c>
      <c r="I302" t="str">
        <f t="shared" si="14"/>
        <v>CBRMCD9</v>
      </c>
    </row>
    <row r="303" spans="6:9" x14ac:dyDescent="0.3">
      <c r="F303" s="20" t="s">
        <v>529</v>
      </c>
      <c r="G303" t="str">
        <f t="shared" si="12"/>
        <v>VP002</v>
      </c>
      <c r="H303" t="str">
        <f t="shared" si="13"/>
        <v>CBR</v>
      </c>
      <c r="I303" t="str">
        <f t="shared" si="14"/>
        <v>CBRMCC8</v>
      </c>
    </row>
    <row r="304" spans="6:9" x14ac:dyDescent="0.3">
      <c r="F304" s="20" t="s">
        <v>530</v>
      </c>
      <c r="G304" t="str">
        <f t="shared" si="12"/>
        <v>VPMCB</v>
      </c>
      <c r="H304" t="str">
        <f t="shared" si="13"/>
        <v>CBR</v>
      </c>
      <c r="I304" t="str">
        <f t="shared" si="14"/>
        <v>CBRMCC2</v>
      </c>
    </row>
    <row r="305" spans="6:9" x14ac:dyDescent="0.3">
      <c r="F305" s="20" t="s">
        <v>531</v>
      </c>
      <c r="G305" t="str">
        <f t="shared" si="12"/>
        <v>VPMCF</v>
      </c>
      <c r="H305" t="str">
        <f t="shared" si="13"/>
        <v>CBR</v>
      </c>
      <c r="I305" t="str">
        <f t="shared" si="14"/>
        <v>CBRMCC3</v>
      </c>
    </row>
    <row r="306" spans="6:9" x14ac:dyDescent="0.3">
      <c r="F306" s="20" t="s">
        <v>532</v>
      </c>
      <c r="G306" t="str">
        <f t="shared" si="12"/>
        <v>VPMCO</v>
      </c>
      <c r="H306" t="str">
        <f t="shared" si="13"/>
        <v>CBR</v>
      </c>
      <c r="I306" t="str">
        <f t="shared" si="14"/>
        <v>CBRMCC4</v>
      </c>
    </row>
    <row r="307" spans="6:9" x14ac:dyDescent="0.3">
      <c r="F307" s="20" t="s">
        <v>533</v>
      </c>
      <c r="G307" t="str">
        <f t="shared" si="12"/>
        <v>VPMCP</v>
      </c>
      <c r="H307" t="str">
        <f t="shared" si="13"/>
        <v>CBR</v>
      </c>
      <c r="I307" t="str">
        <f t="shared" si="14"/>
        <v>CBRMCC5</v>
      </c>
    </row>
    <row r="308" spans="6:9" x14ac:dyDescent="0.3">
      <c r="F308" s="20" t="s">
        <v>534</v>
      </c>
      <c r="G308" t="str">
        <f t="shared" si="12"/>
        <v>VPMCX</v>
      </c>
      <c r="H308" t="str">
        <f t="shared" si="13"/>
        <v>CBR</v>
      </c>
      <c r="I308" t="str">
        <f t="shared" si="14"/>
        <v>CBRMCD1</v>
      </c>
    </row>
    <row r="309" spans="6:9" x14ac:dyDescent="0.3">
      <c r="F309" s="20" t="s">
        <v>535</v>
      </c>
      <c r="G309" t="str">
        <f t="shared" si="12"/>
        <v>VPVIB</v>
      </c>
      <c r="H309" t="str">
        <f t="shared" si="13"/>
        <v>CBR</v>
      </c>
      <c r="I309" t="str">
        <f t="shared" si="14"/>
        <v>CBRVIC3</v>
      </c>
    </row>
    <row r="310" spans="6:9" x14ac:dyDescent="0.3">
      <c r="F310" s="20" t="s">
        <v>536</v>
      </c>
      <c r="G310" t="str">
        <f t="shared" si="12"/>
        <v>VPVID</v>
      </c>
      <c r="H310" t="str">
        <f t="shared" si="13"/>
        <v>CBR</v>
      </c>
      <c r="I310" t="str">
        <f t="shared" si="14"/>
        <v>CBRVIC4</v>
      </c>
    </row>
    <row r="311" spans="6:9" x14ac:dyDescent="0.3">
      <c r="F311" s="20" t="s">
        <v>537</v>
      </c>
      <c r="G311" t="str">
        <f t="shared" si="12"/>
        <v>VPVIR</v>
      </c>
      <c r="H311" t="str">
        <f t="shared" si="13"/>
        <v>CBR</v>
      </c>
      <c r="I311" t="str">
        <f t="shared" si="14"/>
        <v>CBRVIC5</v>
      </c>
    </row>
    <row r="312" spans="6:9" x14ac:dyDescent="0.3">
      <c r="F312" s="20" t="s">
        <v>538</v>
      </c>
      <c r="G312" t="str">
        <f t="shared" si="12"/>
        <v>VPVIS</v>
      </c>
      <c r="H312" t="str">
        <f t="shared" si="13"/>
        <v>CBR</v>
      </c>
      <c r="I312" t="str">
        <f t="shared" si="14"/>
        <v>CBRVIC6</v>
      </c>
    </row>
    <row r="313" spans="6:9" x14ac:dyDescent="0.3">
      <c r="G313" t="str">
        <f t="shared" si="12"/>
        <v/>
      </c>
      <c r="H313" t="str">
        <f t="shared" si="13"/>
        <v/>
      </c>
      <c r="I313" t="e">
        <f t="shared" si="14"/>
        <v>#N/A</v>
      </c>
    </row>
    <row r="314" spans="6:9" x14ac:dyDescent="0.3">
      <c r="G314" t="str">
        <f t="shared" si="12"/>
        <v/>
      </c>
      <c r="H314" t="str">
        <f t="shared" si="13"/>
        <v/>
      </c>
      <c r="I314" t="e">
        <f t="shared" si="14"/>
        <v>#N/A</v>
      </c>
    </row>
    <row r="315" spans="6:9" x14ac:dyDescent="0.3">
      <c r="G315" t="str">
        <f t="shared" si="12"/>
        <v/>
      </c>
      <c r="H315" t="str">
        <f t="shared" si="13"/>
        <v/>
      </c>
      <c r="I315" t="e">
        <f t="shared" si="14"/>
        <v>#N/A</v>
      </c>
    </row>
    <row r="316" spans="6:9" x14ac:dyDescent="0.3">
      <c r="G316" t="str">
        <f t="shared" si="12"/>
        <v/>
      </c>
      <c r="H316" t="str">
        <f t="shared" si="13"/>
        <v/>
      </c>
      <c r="I316" t="e">
        <f t="shared" si="14"/>
        <v>#N/A</v>
      </c>
    </row>
    <row r="317" spans="6:9" x14ac:dyDescent="0.3">
      <c r="G317" t="str">
        <f t="shared" si="12"/>
        <v/>
      </c>
      <c r="H317" t="str">
        <f t="shared" si="13"/>
        <v/>
      </c>
      <c r="I317" t="e">
        <f t="shared" si="14"/>
        <v>#N/A</v>
      </c>
    </row>
    <row r="318" spans="6:9" x14ac:dyDescent="0.3">
      <c r="G318" t="str">
        <f t="shared" si="12"/>
        <v/>
      </c>
      <c r="H318" t="str">
        <f t="shared" si="13"/>
        <v/>
      </c>
      <c r="I318" t="e">
        <f t="shared" si="14"/>
        <v>#N/A</v>
      </c>
    </row>
    <row r="319" spans="6:9" x14ac:dyDescent="0.3">
      <c r="G319" t="str">
        <f t="shared" si="12"/>
        <v/>
      </c>
      <c r="H319" t="str">
        <f t="shared" si="13"/>
        <v/>
      </c>
      <c r="I319" t="e">
        <f t="shared" si="14"/>
        <v>#N/A</v>
      </c>
    </row>
    <row r="320" spans="6:9" x14ac:dyDescent="0.3">
      <c r="G320" t="str">
        <f t="shared" si="12"/>
        <v/>
      </c>
      <c r="H320" t="str">
        <f t="shared" si="13"/>
        <v/>
      </c>
      <c r="I320" t="e">
        <f t="shared" si="14"/>
        <v>#N/A</v>
      </c>
    </row>
    <row r="321" spans="7:9" x14ac:dyDescent="0.3">
      <c r="G321" t="str">
        <f t="shared" si="12"/>
        <v/>
      </c>
      <c r="H321" t="str">
        <f t="shared" si="13"/>
        <v/>
      </c>
      <c r="I321" t="e">
        <f t="shared" si="14"/>
        <v>#N/A</v>
      </c>
    </row>
    <row r="322" spans="7:9" x14ac:dyDescent="0.3">
      <c r="G322" t="str">
        <f t="shared" si="12"/>
        <v/>
      </c>
      <c r="H322" t="str">
        <f t="shared" si="13"/>
        <v/>
      </c>
      <c r="I322" t="e">
        <f t="shared" si="14"/>
        <v>#N/A</v>
      </c>
    </row>
    <row r="323" spans="7:9" x14ac:dyDescent="0.3">
      <c r="G323" t="str">
        <f t="shared" ref="G323:G386" si="15">RIGHT(F323,5)</f>
        <v/>
      </c>
      <c r="H323" t="str">
        <f t="shared" ref="H323:H386" si="16">LEFT(F323,3)</f>
        <v/>
      </c>
      <c r="I323" t="e">
        <f t="shared" ref="I323:I386" si="17">H323&amp;INDEX(A:A,MATCH(G323,J:J,0))</f>
        <v>#N/A</v>
      </c>
    </row>
    <row r="324" spans="7:9" x14ac:dyDescent="0.3">
      <c r="G324" t="str">
        <f t="shared" si="15"/>
        <v/>
      </c>
      <c r="H324" t="str">
        <f t="shared" si="16"/>
        <v/>
      </c>
      <c r="I324" t="e">
        <f t="shared" si="17"/>
        <v>#N/A</v>
      </c>
    </row>
    <row r="325" spans="7:9" x14ac:dyDescent="0.3">
      <c r="G325" t="str">
        <f t="shared" si="15"/>
        <v/>
      </c>
      <c r="H325" t="str">
        <f t="shared" si="16"/>
        <v/>
      </c>
      <c r="I325" t="e">
        <f t="shared" si="17"/>
        <v>#N/A</v>
      </c>
    </row>
    <row r="326" spans="7:9" x14ac:dyDescent="0.3">
      <c r="G326" t="str">
        <f t="shared" si="15"/>
        <v/>
      </c>
      <c r="H326" t="str">
        <f t="shared" si="16"/>
        <v/>
      </c>
      <c r="I326" t="e">
        <f t="shared" si="17"/>
        <v>#N/A</v>
      </c>
    </row>
    <row r="327" spans="7:9" x14ac:dyDescent="0.3">
      <c r="G327" t="str">
        <f t="shared" si="15"/>
        <v/>
      </c>
      <c r="H327" t="str">
        <f t="shared" si="16"/>
        <v/>
      </c>
      <c r="I327" t="e">
        <f t="shared" si="17"/>
        <v>#N/A</v>
      </c>
    </row>
    <row r="328" spans="7:9" x14ac:dyDescent="0.3">
      <c r="G328" t="str">
        <f t="shared" si="15"/>
        <v/>
      </c>
      <c r="H328" t="str">
        <f t="shared" si="16"/>
        <v/>
      </c>
      <c r="I328" t="e">
        <f t="shared" si="17"/>
        <v>#N/A</v>
      </c>
    </row>
    <row r="329" spans="7:9" x14ac:dyDescent="0.3">
      <c r="G329" t="str">
        <f t="shared" si="15"/>
        <v/>
      </c>
      <c r="H329" t="str">
        <f t="shared" si="16"/>
        <v/>
      </c>
      <c r="I329" t="e">
        <f t="shared" si="17"/>
        <v>#N/A</v>
      </c>
    </row>
    <row r="330" spans="7:9" x14ac:dyDescent="0.3">
      <c r="G330" t="str">
        <f t="shared" si="15"/>
        <v/>
      </c>
      <c r="H330" t="str">
        <f t="shared" si="16"/>
        <v/>
      </c>
      <c r="I330" t="e">
        <f t="shared" si="17"/>
        <v>#N/A</v>
      </c>
    </row>
    <row r="331" spans="7:9" x14ac:dyDescent="0.3">
      <c r="G331" t="str">
        <f t="shared" si="15"/>
        <v/>
      </c>
      <c r="H331" t="str">
        <f t="shared" si="16"/>
        <v/>
      </c>
      <c r="I331" t="e">
        <f t="shared" si="17"/>
        <v>#N/A</v>
      </c>
    </row>
    <row r="332" spans="7:9" x14ac:dyDescent="0.3">
      <c r="G332" t="str">
        <f t="shared" si="15"/>
        <v/>
      </c>
      <c r="H332" t="str">
        <f t="shared" si="16"/>
        <v/>
      </c>
      <c r="I332" t="e">
        <f t="shared" si="17"/>
        <v>#N/A</v>
      </c>
    </row>
    <row r="333" spans="7:9" x14ac:dyDescent="0.3">
      <c r="G333" t="str">
        <f t="shared" si="15"/>
        <v/>
      </c>
      <c r="H333" t="str">
        <f t="shared" si="16"/>
        <v/>
      </c>
      <c r="I333" t="e">
        <f t="shared" si="17"/>
        <v>#N/A</v>
      </c>
    </row>
    <row r="334" spans="7:9" x14ac:dyDescent="0.3">
      <c r="G334" t="str">
        <f t="shared" si="15"/>
        <v/>
      </c>
      <c r="H334" t="str">
        <f t="shared" si="16"/>
        <v/>
      </c>
      <c r="I334" t="e">
        <f t="shared" si="17"/>
        <v>#N/A</v>
      </c>
    </row>
    <row r="335" spans="7:9" x14ac:dyDescent="0.3">
      <c r="G335" t="str">
        <f t="shared" si="15"/>
        <v/>
      </c>
      <c r="H335" t="str">
        <f t="shared" si="16"/>
        <v/>
      </c>
      <c r="I335" t="e">
        <f t="shared" si="17"/>
        <v>#N/A</v>
      </c>
    </row>
    <row r="336" spans="7:9" x14ac:dyDescent="0.3">
      <c r="G336" t="str">
        <f t="shared" si="15"/>
        <v/>
      </c>
      <c r="H336" t="str">
        <f t="shared" si="16"/>
        <v/>
      </c>
      <c r="I336" t="e">
        <f t="shared" si="17"/>
        <v>#N/A</v>
      </c>
    </row>
    <row r="337" spans="7:9" x14ac:dyDescent="0.3">
      <c r="G337" t="str">
        <f t="shared" si="15"/>
        <v/>
      </c>
      <c r="H337" t="str">
        <f t="shared" si="16"/>
        <v/>
      </c>
      <c r="I337" t="e">
        <f t="shared" si="17"/>
        <v>#N/A</v>
      </c>
    </row>
    <row r="338" spans="7:9" x14ac:dyDescent="0.3">
      <c r="G338" t="str">
        <f t="shared" si="15"/>
        <v/>
      </c>
      <c r="H338" t="str">
        <f t="shared" si="16"/>
        <v/>
      </c>
      <c r="I338" t="e">
        <f t="shared" si="17"/>
        <v>#N/A</v>
      </c>
    </row>
    <row r="339" spans="7:9" x14ac:dyDescent="0.3">
      <c r="G339" t="str">
        <f t="shared" si="15"/>
        <v/>
      </c>
      <c r="H339" t="str">
        <f t="shared" si="16"/>
        <v/>
      </c>
      <c r="I339" t="e">
        <f t="shared" si="17"/>
        <v>#N/A</v>
      </c>
    </row>
    <row r="340" spans="7:9" x14ac:dyDescent="0.3">
      <c r="G340" t="str">
        <f t="shared" si="15"/>
        <v/>
      </c>
      <c r="H340" t="str">
        <f t="shared" si="16"/>
        <v/>
      </c>
      <c r="I340" t="e">
        <f t="shared" si="17"/>
        <v>#N/A</v>
      </c>
    </row>
    <row r="341" spans="7:9" x14ac:dyDescent="0.3">
      <c r="G341" t="str">
        <f t="shared" si="15"/>
        <v/>
      </c>
      <c r="H341" t="str">
        <f t="shared" si="16"/>
        <v/>
      </c>
      <c r="I341" t="e">
        <f t="shared" si="17"/>
        <v>#N/A</v>
      </c>
    </row>
    <row r="342" spans="7:9" x14ac:dyDescent="0.3">
      <c r="G342" t="str">
        <f t="shared" si="15"/>
        <v/>
      </c>
      <c r="H342" t="str">
        <f t="shared" si="16"/>
        <v/>
      </c>
      <c r="I342" t="e">
        <f t="shared" si="17"/>
        <v>#N/A</v>
      </c>
    </row>
    <row r="343" spans="7:9" x14ac:dyDescent="0.3">
      <c r="G343" t="str">
        <f t="shared" si="15"/>
        <v/>
      </c>
      <c r="H343" t="str">
        <f t="shared" si="16"/>
        <v/>
      </c>
      <c r="I343" t="e">
        <f t="shared" si="17"/>
        <v>#N/A</v>
      </c>
    </row>
    <row r="344" spans="7:9" x14ac:dyDescent="0.3">
      <c r="G344" t="str">
        <f t="shared" si="15"/>
        <v/>
      </c>
      <c r="H344" t="str">
        <f t="shared" si="16"/>
        <v/>
      </c>
      <c r="I344" t="e">
        <f t="shared" si="17"/>
        <v>#N/A</v>
      </c>
    </row>
    <row r="345" spans="7:9" x14ac:dyDescent="0.3">
      <c r="G345" t="str">
        <f t="shared" si="15"/>
        <v/>
      </c>
      <c r="H345" t="str">
        <f t="shared" si="16"/>
        <v/>
      </c>
      <c r="I345" t="e">
        <f t="shared" si="17"/>
        <v>#N/A</v>
      </c>
    </row>
    <row r="346" spans="7:9" x14ac:dyDescent="0.3">
      <c r="G346" t="str">
        <f t="shared" si="15"/>
        <v/>
      </c>
      <c r="H346" t="str">
        <f t="shared" si="16"/>
        <v/>
      </c>
      <c r="I346" t="e">
        <f t="shared" si="17"/>
        <v>#N/A</v>
      </c>
    </row>
    <row r="347" spans="7:9" x14ac:dyDescent="0.3">
      <c r="G347" t="str">
        <f t="shared" si="15"/>
        <v/>
      </c>
      <c r="H347" t="str">
        <f t="shared" si="16"/>
        <v/>
      </c>
      <c r="I347" t="e">
        <f t="shared" si="17"/>
        <v>#N/A</v>
      </c>
    </row>
    <row r="348" spans="7:9" x14ac:dyDescent="0.3">
      <c r="G348" t="str">
        <f t="shared" si="15"/>
        <v/>
      </c>
      <c r="H348" t="str">
        <f t="shared" si="16"/>
        <v/>
      </c>
      <c r="I348" t="e">
        <f t="shared" si="17"/>
        <v>#N/A</v>
      </c>
    </row>
    <row r="349" spans="7:9" x14ac:dyDescent="0.3">
      <c r="G349" t="str">
        <f t="shared" si="15"/>
        <v/>
      </c>
      <c r="H349" t="str">
        <f t="shared" si="16"/>
        <v/>
      </c>
      <c r="I349" t="e">
        <f t="shared" si="17"/>
        <v>#N/A</v>
      </c>
    </row>
    <row r="350" spans="7:9" x14ac:dyDescent="0.3">
      <c r="G350" t="str">
        <f t="shared" si="15"/>
        <v/>
      </c>
      <c r="H350" t="str">
        <f t="shared" si="16"/>
        <v/>
      </c>
      <c r="I350" t="e">
        <f t="shared" si="17"/>
        <v>#N/A</v>
      </c>
    </row>
    <row r="351" spans="7:9" x14ac:dyDescent="0.3">
      <c r="G351" t="str">
        <f t="shared" si="15"/>
        <v/>
      </c>
      <c r="H351" t="str">
        <f t="shared" si="16"/>
        <v/>
      </c>
      <c r="I351" t="e">
        <f t="shared" si="17"/>
        <v>#N/A</v>
      </c>
    </row>
    <row r="352" spans="7:9" x14ac:dyDescent="0.3">
      <c r="G352" t="str">
        <f t="shared" si="15"/>
        <v/>
      </c>
      <c r="H352" t="str">
        <f t="shared" si="16"/>
        <v/>
      </c>
      <c r="I352" t="e">
        <f t="shared" si="17"/>
        <v>#N/A</v>
      </c>
    </row>
    <row r="353" spans="7:9" x14ac:dyDescent="0.3">
      <c r="G353" t="str">
        <f t="shared" si="15"/>
        <v/>
      </c>
      <c r="H353" t="str">
        <f t="shared" si="16"/>
        <v/>
      </c>
      <c r="I353" t="e">
        <f t="shared" si="17"/>
        <v>#N/A</v>
      </c>
    </row>
    <row r="354" spans="7:9" x14ac:dyDescent="0.3">
      <c r="G354" t="str">
        <f t="shared" si="15"/>
        <v/>
      </c>
      <c r="H354" t="str">
        <f t="shared" si="16"/>
        <v/>
      </c>
      <c r="I354" t="e">
        <f t="shared" si="17"/>
        <v>#N/A</v>
      </c>
    </row>
    <row r="355" spans="7:9" x14ac:dyDescent="0.3">
      <c r="G355" t="str">
        <f t="shared" si="15"/>
        <v/>
      </c>
      <c r="H355" t="str">
        <f t="shared" si="16"/>
        <v/>
      </c>
      <c r="I355" t="e">
        <f t="shared" si="17"/>
        <v>#N/A</v>
      </c>
    </row>
    <row r="356" spans="7:9" x14ac:dyDescent="0.3">
      <c r="G356" t="str">
        <f t="shared" si="15"/>
        <v/>
      </c>
      <c r="H356" t="str">
        <f t="shared" si="16"/>
        <v/>
      </c>
      <c r="I356" t="e">
        <f t="shared" si="17"/>
        <v>#N/A</v>
      </c>
    </row>
    <row r="357" spans="7:9" x14ac:dyDescent="0.3">
      <c r="G357" t="str">
        <f t="shared" si="15"/>
        <v/>
      </c>
      <c r="H357" t="str">
        <f t="shared" si="16"/>
        <v/>
      </c>
      <c r="I357" t="e">
        <f t="shared" si="17"/>
        <v>#N/A</v>
      </c>
    </row>
    <row r="358" spans="7:9" x14ac:dyDescent="0.3">
      <c r="G358" t="str">
        <f t="shared" si="15"/>
        <v/>
      </c>
      <c r="H358" t="str">
        <f t="shared" si="16"/>
        <v/>
      </c>
      <c r="I358" t="e">
        <f t="shared" si="17"/>
        <v>#N/A</v>
      </c>
    </row>
    <row r="359" spans="7:9" x14ac:dyDescent="0.3">
      <c r="G359" t="str">
        <f t="shared" si="15"/>
        <v/>
      </c>
      <c r="H359" t="str">
        <f t="shared" si="16"/>
        <v/>
      </c>
      <c r="I359" t="e">
        <f t="shared" si="17"/>
        <v>#N/A</v>
      </c>
    </row>
    <row r="360" spans="7:9" x14ac:dyDescent="0.3">
      <c r="G360" t="str">
        <f t="shared" si="15"/>
        <v/>
      </c>
      <c r="H360" t="str">
        <f t="shared" si="16"/>
        <v/>
      </c>
      <c r="I360" t="e">
        <f t="shared" si="17"/>
        <v>#N/A</v>
      </c>
    </row>
    <row r="361" spans="7:9" x14ac:dyDescent="0.3">
      <c r="G361" t="str">
        <f t="shared" si="15"/>
        <v/>
      </c>
      <c r="H361" t="str">
        <f t="shared" si="16"/>
        <v/>
      </c>
      <c r="I361" t="e">
        <f t="shared" si="17"/>
        <v>#N/A</v>
      </c>
    </row>
    <row r="362" spans="7:9" x14ac:dyDescent="0.3">
      <c r="G362" t="str">
        <f t="shared" si="15"/>
        <v/>
      </c>
      <c r="H362" t="str">
        <f t="shared" si="16"/>
        <v/>
      </c>
      <c r="I362" t="e">
        <f t="shared" si="17"/>
        <v>#N/A</v>
      </c>
    </row>
    <row r="363" spans="7:9" x14ac:dyDescent="0.3">
      <c r="G363" t="str">
        <f t="shared" si="15"/>
        <v/>
      </c>
      <c r="H363" t="str">
        <f t="shared" si="16"/>
        <v/>
      </c>
      <c r="I363" t="e">
        <f t="shared" si="17"/>
        <v>#N/A</v>
      </c>
    </row>
    <row r="364" spans="7:9" x14ac:dyDescent="0.3">
      <c r="G364" t="str">
        <f t="shared" si="15"/>
        <v/>
      </c>
      <c r="H364" t="str">
        <f t="shared" si="16"/>
        <v/>
      </c>
      <c r="I364" t="e">
        <f t="shared" si="17"/>
        <v>#N/A</v>
      </c>
    </row>
    <row r="365" spans="7:9" x14ac:dyDescent="0.3">
      <c r="G365" t="str">
        <f t="shared" si="15"/>
        <v/>
      </c>
      <c r="H365" t="str">
        <f t="shared" si="16"/>
        <v/>
      </c>
      <c r="I365" t="e">
        <f t="shared" si="17"/>
        <v>#N/A</v>
      </c>
    </row>
    <row r="366" spans="7:9" x14ac:dyDescent="0.3">
      <c r="G366" t="str">
        <f t="shared" si="15"/>
        <v/>
      </c>
      <c r="H366" t="str">
        <f t="shared" si="16"/>
        <v/>
      </c>
      <c r="I366" t="e">
        <f t="shared" si="17"/>
        <v>#N/A</v>
      </c>
    </row>
    <row r="367" spans="7:9" x14ac:dyDescent="0.3">
      <c r="G367" t="str">
        <f t="shared" si="15"/>
        <v/>
      </c>
      <c r="H367" t="str">
        <f t="shared" si="16"/>
        <v/>
      </c>
      <c r="I367" t="e">
        <f t="shared" si="17"/>
        <v>#N/A</v>
      </c>
    </row>
    <row r="368" spans="7:9" x14ac:dyDescent="0.3">
      <c r="G368" t="str">
        <f t="shared" si="15"/>
        <v/>
      </c>
      <c r="H368" t="str">
        <f t="shared" si="16"/>
        <v/>
      </c>
      <c r="I368" t="e">
        <f t="shared" si="17"/>
        <v>#N/A</v>
      </c>
    </row>
    <row r="369" spans="7:9" x14ac:dyDescent="0.3">
      <c r="G369" t="str">
        <f t="shared" si="15"/>
        <v/>
      </c>
      <c r="H369" t="str">
        <f t="shared" si="16"/>
        <v/>
      </c>
      <c r="I369" t="e">
        <f t="shared" si="17"/>
        <v>#N/A</v>
      </c>
    </row>
    <row r="370" spans="7:9" x14ac:dyDescent="0.3">
      <c r="G370" t="str">
        <f t="shared" si="15"/>
        <v/>
      </c>
      <c r="H370" t="str">
        <f t="shared" si="16"/>
        <v/>
      </c>
      <c r="I370" t="e">
        <f t="shared" si="17"/>
        <v>#N/A</v>
      </c>
    </row>
    <row r="371" spans="7:9" x14ac:dyDescent="0.3">
      <c r="G371" t="str">
        <f t="shared" si="15"/>
        <v/>
      </c>
      <c r="H371" t="str">
        <f t="shared" si="16"/>
        <v/>
      </c>
      <c r="I371" t="e">
        <f t="shared" si="17"/>
        <v>#N/A</v>
      </c>
    </row>
    <row r="372" spans="7:9" x14ac:dyDescent="0.3">
      <c r="G372" t="str">
        <f t="shared" si="15"/>
        <v/>
      </c>
      <c r="H372" t="str">
        <f t="shared" si="16"/>
        <v/>
      </c>
      <c r="I372" t="e">
        <f t="shared" si="17"/>
        <v>#N/A</v>
      </c>
    </row>
    <row r="373" spans="7:9" x14ac:dyDescent="0.3">
      <c r="G373" t="str">
        <f t="shared" si="15"/>
        <v/>
      </c>
      <c r="H373" t="str">
        <f t="shared" si="16"/>
        <v/>
      </c>
      <c r="I373" t="e">
        <f t="shared" si="17"/>
        <v>#N/A</v>
      </c>
    </row>
    <row r="374" spans="7:9" x14ac:dyDescent="0.3">
      <c r="G374" t="str">
        <f t="shared" si="15"/>
        <v/>
      </c>
      <c r="H374" t="str">
        <f t="shared" si="16"/>
        <v/>
      </c>
      <c r="I374" t="e">
        <f t="shared" si="17"/>
        <v>#N/A</v>
      </c>
    </row>
    <row r="375" spans="7:9" x14ac:dyDescent="0.3">
      <c r="G375" t="str">
        <f t="shared" si="15"/>
        <v/>
      </c>
      <c r="H375" t="str">
        <f t="shared" si="16"/>
        <v/>
      </c>
      <c r="I375" t="e">
        <f t="shared" si="17"/>
        <v>#N/A</v>
      </c>
    </row>
    <row r="376" spans="7:9" x14ac:dyDescent="0.3">
      <c r="G376" t="str">
        <f t="shared" si="15"/>
        <v/>
      </c>
      <c r="H376" t="str">
        <f t="shared" si="16"/>
        <v/>
      </c>
      <c r="I376" t="e">
        <f t="shared" si="17"/>
        <v>#N/A</v>
      </c>
    </row>
    <row r="377" spans="7:9" x14ac:dyDescent="0.3">
      <c r="G377" t="str">
        <f t="shared" si="15"/>
        <v/>
      </c>
      <c r="H377" t="str">
        <f t="shared" si="16"/>
        <v/>
      </c>
      <c r="I377" t="e">
        <f t="shared" si="17"/>
        <v>#N/A</v>
      </c>
    </row>
    <row r="378" spans="7:9" x14ac:dyDescent="0.3">
      <c r="G378" t="str">
        <f t="shared" si="15"/>
        <v/>
      </c>
      <c r="H378" t="str">
        <f t="shared" si="16"/>
        <v/>
      </c>
      <c r="I378" t="e">
        <f t="shared" si="17"/>
        <v>#N/A</v>
      </c>
    </row>
    <row r="379" spans="7:9" x14ac:dyDescent="0.3">
      <c r="G379" t="str">
        <f t="shared" si="15"/>
        <v/>
      </c>
      <c r="H379" t="str">
        <f t="shared" si="16"/>
        <v/>
      </c>
      <c r="I379" t="e">
        <f t="shared" si="17"/>
        <v>#N/A</v>
      </c>
    </row>
    <row r="380" spans="7:9" x14ac:dyDescent="0.3">
      <c r="G380" t="str">
        <f t="shared" si="15"/>
        <v/>
      </c>
      <c r="H380" t="str">
        <f t="shared" si="16"/>
        <v/>
      </c>
      <c r="I380" t="e">
        <f t="shared" si="17"/>
        <v>#N/A</v>
      </c>
    </row>
    <row r="381" spans="7:9" x14ac:dyDescent="0.3">
      <c r="G381" t="str">
        <f t="shared" si="15"/>
        <v/>
      </c>
      <c r="H381" t="str">
        <f t="shared" si="16"/>
        <v/>
      </c>
      <c r="I381" t="e">
        <f t="shared" si="17"/>
        <v>#N/A</v>
      </c>
    </row>
    <row r="382" spans="7:9" x14ac:dyDescent="0.3">
      <c r="G382" t="str">
        <f t="shared" si="15"/>
        <v/>
      </c>
      <c r="H382" t="str">
        <f t="shared" si="16"/>
        <v/>
      </c>
      <c r="I382" t="e">
        <f t="shared" si="17"/>
        <v>#N/A</v>
      </c>
    </row>
    <row r="383" spans="7:9" x14ac:dyDescent="0.3">
      <c r="G383" t="str">
        <f t="shared" si="15"/>
        <v/>
      </c>
      <c r="H383" t="str">
        <f t="shared" si="16"/>
        <v/>
      </c>
      <c r="I383" t="e">
        <f t="shared" si="17"/>
        <v>#N/A</v>
      </c>
    </row>
    <row r="384" spans="7:9" x14ac:dyDescent="0.3">
      <c r="G384" t="str">
        <f t="shared" si="15"/>
        <v/>
      </c>
      <c r="H384" t="str">
        <f t="shared" si="16"/>
        <v/>
      </c>
      <c r="I384" t="e">
        <f t="shared" si="17"/>
        <v>#N/A</v>
      </c>
    </row>
    <row r="385" spans="7:9" x14ac:dyDescent="0.3">
      <c r="G385" t="str">
        <f t="shared" si="15"/>
        <v/>
      </c>
      <c r="H385" t="str">
        <f t="shared" si="16"/>
        <v/>
      </c>
      <c r="I385" t="e">
        <f t="shared" si="17"/>
        <v>#N/A</v>
      </c>
    </row>
    <row r="386" spans="7:9" x14ac:dyDescent="0.3">
      <c r="G386" t="str">
        <f t="shared" si="15"/>
        <v/>
      </c>
      <c r="H386" t="str">
        <f t="shared" si="16"/>
        <v/>
      </c>
      <c r="I386" t="e">
        <f t="shared" si="17"/>
        <v>#N/A</v>
      </c>
    </row>
    <row r="387" spans="7:9" x14ac:dyDescent="0.3">
      <c r="G387" t="str">
        <f t="shared" ref="G387:G450" si="18">RIGHT(F387,5)</f>
        <v/>
      </c>
      <c r="H387" t="str">
        <f t="shared" ref="H387:H450" si="19">LEFT(F387,3)</f>
        <v/>
      </c>
      <c r="I387" t="e">
        <f t="shared" ref="I387:I450" si="20">H387&amp;INDEX(A:A,MATCH(G387,J:J,0))</f>
        <v>#N/A</v>
      </c>
    </row>
    <row r="388" spans="7:9" x14ac:dyDescent="0.3">
      <c r="G388" t="str">
        <f t="shared" si="18"/>
        <v/>
      </c>
      <c r="H388" t="str">
        <f t="shared" si="19"/>
        <v/>
      </c>
      <c r="I388" t="e">
        <f t="shared" si="20"/>
        <v>#N/A</v>
      </c>
    </row>
    <row r="389" spans="7:9" x14ac:dyDescent="0.3">
      <c r="G389" t="str">
        <f t="shared" si="18"/>
        <v/>
      </c>
      <c r="H389" t="str">
        <f t="shared" si="19"/>
        <v/>
      </c>
      <c r="I389" t="e">
        <f t="shared" si="20"/>
        <v>#N/A</v>
      </c>
    </row>
    <row r="390" spans="7:9" x14ac:dyDescent="0.3">
      <c r="G390" t="str">
        <f t="shared" si="18"/>
        <v/>
      </c>
      <c r="H390" t="str">
        <f t="shared" si="19"/>
        <v/>
      </c>
      <c r="I390" t="e">
        <f t="shared" si="20"/>
        <v>#N/A</v>
      </c>
    </row>
    <row r="391" spans="7:9" x14ac:dyDescent="0.3">
      <c r="G391" t="str">
        <f t="shared" si="18"/>
        <v/>
      </c>
      <c r="H391" t="str">
        <f t="shared" si="19"/>
        <v/>
      </c>
      <c r="I391" t="e">
        <f t="shared" si="20"/>
        <v>#N/A</v>
      </c>
    </row>
    <row r="392" spans="7:9" x14ac:dyDescent="0.3">
      <c r="G392" t="str">
        <f t="shared" si="18"/>
        <v/>
      </c>
      <c r="H392" t="str">
        <f t="shared" si="19"/>
        <v/>
      </c>
      <c r="I392" t="e">
        <f t="shared" si="20"/>
        <v>#N/A</v>
      </c>
    </row>
    <row r="393" spans="7:9" x14ac:dyDescent="0.3">
      <c r="G393" t="str">
        <f t="shared" si="18"/>
        <v/>
      </c>
      <c r="H393" t="str">
        <f t="shared" si="19"/>
        <v/>
      </c>
      <c r="I393" t="e">
        <f t="shared" si="20"/>
        <v>#N/A</v>
      </c>
    </row>
    <row r="394" spans="7:9" x14ac:dyDescent="0.3">
      <c r="G394" t="str">
        <f t="shared" si="18"/>
        <v/>
      </c>
      <c r="H394" t="str">
        <f t="shared" si="19"/>
        <v/>
      </c>
      <c r="I394" t="e">
        <f t="shared" si="20"/>
        <v>#N/A</v>
      </c>
    </row>
    <row r="395" spans="7:9" x14ac:dyDescent="0.3">
      <c r="G395" t="str">
        <f t="shared" si="18"/>
        <v/>
      </c>
      <c r="H395" t="str">
        <f t="shared" si="19"/>
        <v/>
      </c>
      <c r="I395" t="e">
        <f t="shared" si="20"/>
        <v>#N/A</v>
      </c>
    </row>
    <row r="396" spans="7:9" x14ac:dyDescent="0.3">
      <c r="G396" t="str">
        <f t="shared" si="18"/>
        <v/>
      </c>
      <c r="H396" t="str">
        <f t="shared" si="19"/>
        <v/>
      </c>
      <c r="I396" t="e">
        <f t="shared" si="20"/>
        <v>#N/A</v>
      </c>
    </row>
    <row r="397" spans="7:9" x14ac:dyDescent="0.3">
      <c r="G397" t="str">
        <f t="shared" si="18"/>
        <v/>
      </c>
      <c r="H397" t="str">
        <f t="shared" si="19"/>
        <v/>
      </c>
      <c r="I397" t="e">
        <f t="shared" si="20"/>
        <v>#N/A</v>
      </c>
    </row>
    <row r="398" spans="7:9" x14ac:dyDescent="0.3">
      <c r="G398" t="str">
        <f t="shared" si="18"/>
        <v/>
      </c>
      <c r="H398" t="str">
        <f t="shared" si="19"/>
        <v/>
      </c>
      <c r="I398" t="e">
        <f t="shared" si="20"/>
        <v>#N/A</v>
      </c>
    </row>
    <row r="399" spans="7:9" x14ac:dyDescent="0.3">
      <c r="G399" t="str">
        <f t="shared" si="18"/>
        <v/>
      </c>
      <c r="H399" t="str">
        <f t="shared" si="19"/>
        <v/>
      </c>
      <c r="I399" t="e">
        <f t="shared" si="20"/>
        <v>#N/A</v>
      </c>
    </row>
    <row r="400" spans="7:9" x14ac:dyDescent="0.3">
      <c r="G400" t="str">
        <f t="shared" si="18"/>
        <v/>
      </c>
      <c r="H400" t="str">
        <f t="shared" si="19"/>
        <v/>
      </c>
      <c r="I400" t="e">
        <f t="shared" si="20"/>
        <v>#N/A</v>
      </c>
    </row>
    <row r="401" spans="7:9" x14ac:dyDescent="0.3">
      <c r="G401" t="str">
        <f t="shared" si="18"/>
        <v/>
      </c>
      <c r="H401" t="str">
        <f t="shared" si="19"/>
        <v/>
      </c>
      <c r="I401" t="e">
        <f t="shared" si="20"/>
        <v>#N/A</v>
      </c>
    </row>
    <row r="402" spans="7:9" x14ac:dyDescent="0.3">
      <c r="G402" t="str">
        <f t="shared" si="18"/>
        <v/>
      </c>
      <c r="H402" t="str">
        <f t="shared" si="19"/>
        <v/>
      </c>
      <c r="I402" t="e">
        <f t="shared" si="20"/>
        <v>#N/A</v>
      </c>
    </row>
    <row r="403" spans="7:9" x14ac:dyDescent="0.3">
      <c r="G403" t="str">
        <f t="shared" si="18"/>
        <v/>
      </c>
      <c r="H403" t="str">
        <f t="shared" si="19"/>
        <v/>
      </c>
      <c r="I403" t="e">
        <f t="shared" si="20"/>
        <v>#N/A</v>
      </c>
    </row>
    <row r="404" spans="7:9" x14ac:dyDescent="0.3">
      <c r="G404" t="str">
        <f t="shared" si="18"/>
        <v/>
      </c>
      <c r="H404" t="str">
        <f t="shared" si="19"/>
        <v/>
      </c>
      <c r="I404" t="e">
        <f t="shared" si="20"/>
        <v>#N/A</v>
      </c>
    </row>
    <row r="405" spans="7:9" x14ac:dyDescent="0.3">
      <c r="G405" t="str">
        <f t="shared" si="18"/>
        <v/>
      </c>
      <c r="H405" t="str">
        <f t="shared" si="19"/>
        <v/>
      </c>
      <c r="I405" t="e">
        <f t="shared" si="20"/>
        <v>#N/A</v>
      </c>
    </row>
    <row r="406" spans="7:9" x14ac:dyDescent="0.3">
      <c r="G406" t="str">
        <f t="shared" si="18"/>
        <v/>
      </c>
      <c r="H406" t="str">
        <f t="shared" si="19"/>
        <v/>
      </c>
      <c r="I406" t="e">
        <f t="shared" si="20"/>
        <v>#N/A</v>
      </c>
    </row>
    <row r="407" spans="7:9" x14ac:dyDescent="0.3">
      <c r="G407" t="str">
        <f t="shared" si="18"/>
        <v/>
      </c>
      <c r="H407" t="str">
        <f t="shared" si="19"/>
        <v/>
      </c>
      <c r="I407" t="e">
        <f t="shared" si="20"/>
        <v>#N/A</v>
      </c>
    </row>
    <row r="408" spans="7:9" x14ac:dyDescent="0.3">
      <c r="G408" t="str">
        <f t="shared" si="18"/>
        <v/>
      </c>
      <c r="H408" t="str">
        <f t="shared" si="19"/>
        <v/>
      </c>
      <c r="I408" t="e">
        <f t="shared" si="20"/>
        <v>#N/A</v>
      </c>
    </row>
    <row r="409" spans="7:9" x14ac:dyDescent="0.3">
      <c r="G409" t="str">
        <f t="shared" si="18"/>
        <v/>
      </c>
      <c r="H409" t="str">
        <f t="shared" si="19"/>
        <v/>
      </c>
      <c r="I409" t="e">
        <f t="shared" si="20"/>
        <v>#N/A</v>
      </c>
    </row>
    <row r="410" spans="7:9" x14ac:dyDescent="0.3">
      <c r="G410" t="str">
        <f t="shared" si="18"/>
        <v/>
      </c>
      <c r="H410" t="str">
        <f t="shared" si="19"/>
        <v/>
      </c>
      <c r="I410" t="e">
        <f t="shared" si="20"/>
        <v>#N/A</v>
      </c>
    </row>
    <row r="411" spans="7:9" x14ac:dyDescent="0.3">
      <c r="G411" t="str">
        <f t="shared" si="18"/>
        <v/>
      </c>
      <c r="H411" t="str">
        <f t="shared" si="19"/>
        <v/>
      </c>
      <c r="I411" t="e">
        <f t="shared" si="20"/>
        <v>#N/A</v>
      </c>
    </row>
    <row r="412" spans="7:9" x14ac:dyDescent="0.3">
      <c r="G412" t="str">
        <f t="shared" si="18"/>
        <v/>
      </c>
      <c r="H412" t="str">
        <f t="shared" si="19"/>
        <v/>
      </c>
      <c r="I412" t="e">
        <f t="shared" si="20"/>
        <v>#N/A</v>
      </c>
    </row>
    <row r="413" spans="7:9" x14ac:dyDescent="0.3">
      <c r="G413" t="str">
        <f t="shared" si="18"/>
        <v/>
      </c>
      <c r="H413" t="str">
        <f t="shared" si="19"/>
        <v/>
      </c>
      <c r="I413" t="e">
        <f t="shared" si="20"/>
        <v>#N/A</v>
      </c>
    </row>
    <row r="414" spans="7:9" x14ac:dyDescent="0.3">
      <c r="G414" t="str">
        <f t="shared" si="18"/>
        <v/>
      </c>
      <c r="H414" t="str">
        <f t="shared" si="19"/>
        <v/>
      </c>
      <c r="I414" t="e">
        <f t="shared" si="20"/>
        <v>#N/A</v>
      </c>
    </row>
    <row r="415" spans="7:9" x14ac:dyDescent="0.3">
      <c r="G415" t="str">
        <f t="shared" si="18"/>
        <v/>
      </c>
      <c r="H415" t="str">
        <f t="shared" si="19"/>
        <v/>
      </c>
      <c r="I415" t="e">
        <f t="shared" si="20"/>
        <v>#N/A</v>
      </c>
    </row>
    <row r="416" spans="7:9" x14ac:dyDescent="0.3">
      <c r="G416" t="str">
        <f t="shared" si="18"/>
        <v/>
      </c>
      <c r="H416" t="str">
        <f t="shared" si="19"/>
        <v/>
      </c>
      <c r="I416" t="e">
        <f t="shared" si="20"/>
        <v>#N/A</v>
      </c>
    </row>
    <row r="417" spans="7:9" x14ac:dyDescent="0.3">
      <c r="G417" t="str">
        <f t="shared" si="18"/>
        <v/>
      </c>
      <c r="H417" t="str">
        <f t="shared" si="19"/>
        <v/>
      </c>
      <c r="I417" t="e">
        <f t="shared" si="20"/>
        <v>#N/A</v>
      </c>
    </row>
    <row r="418" spans="7:9" x14ac:dyDescent="0.3">
      <c r="G418" t="str">
        <f t="shared" si="18"/>
        <v/>
      </c>
      <c r="H418" t="str">
        <f t="shared" si="19"/>
        <v/>
      </c>
      <c r="I418" t="e">
        <f t="shared" si="20"/>
        <v>#N/A</v>
      </c>
    </row>
    <row r="419" spans="7:9" x14ac:dyDescent="0.3">
      <c r="G419" t="str">
        <f t="shared" si="18"/>
        <v/>
      </c>
      <c r="H419" t="str">
        <f t="shared" si="19"/>
        <v/>
      </c>
      <c r="I419" t="e">
        <f t="shared" si="20"/>
        <v>#N/A</v>
      </c>
    </row>
    <row r="420" spans="7:9" x14ac:dyDescent="0.3">
      <c r="G420" t="str">
        <f t="shared" si="18"/>
        <v/>
      </c>
      <c r="H420" t="str">
        <f t="shared" si="19"/>
        <v/>
      </c>
      <c r="I420" t="e">
        <f t="shared" si="20"/>
        <v>#N/A</v>
      </c>
    </row>
    <row r="421" spans="7:9" x14ac:dyDescent="0.3">
      <c r="G421" t="str">
        <f t="shared" si="18"/>
        <v/>
      </c>
      <c r="H421" t="str">
        <f t="shared" si="19"/>
        <v/>
      </c>
      <c r="I421" t="e">
        <f t="shared" si="20"/>
        <v>#N/A</v>
      </c>
    </row>
    <row r="422" spans="7:9" x14ac:dyDescent="0.3">
      <c r="G422" t="str">
        <f t="shared" si="18"/>
        <v/>
      </c>
      <c r="H422" t="str">
        <f t="shared" si="19"/>
        <v/>
      </c>
      <c r="I422" t="e">
        <f t="shared" si="20"/>
        <v>#N/A</v>
      </c>
    </row>
    <row r="423" spans="7:9" x14ac:dyDescent="0.3">
      <c r="G423" t="str">
        <f t="shared" si="18"/>
        <v/>
      </c>
      <c r="H423" t="str">
        <f t="shared" si="19"/>
        <v/>
      </c>
      <c r="I423" t="e">
        <f t="shared" si="20"/>
        <v>#N/A</v>
      </c>
    </row>
    <row r="424" spans="7:9" x14ac:dyDescent="0.3">
      <c r="G424" t="str">
        <f t="shared" si="18"/>
        <v/>
      </c>
      <c r="H424" t="str">
        <f t="shared" si="19"/>
        <v/>
      </c>
      <c r="I424" t="e">
        <f t="shared" si="20"/>
        <v>#N/A</v>
      </c>
    </row>
    <row r="425" spans="7:9" x14ac:dyDescent="0.3">
      <c r="G425" t="str">
        <f t="shared" si="18"/>
        <v/>
      </c>
      <c r="H425" t="str">
        <f t="shared" si="19"/>
        <v/>
      </c>
      <c r="I425" t="e">
        <f t="shared" si="20"/>
        <v>#N/A</v>
      </c>
    </row>
    <row r="426" spans="7:9" x14ac:dyDescent="0.3">
      <c r="G426" t="str">
        <f t="shared" si="18"/>
        <v/>
      </c>
      <c r="H426" t="str">
        <f t="shared" si="19"/>
        <v/>
      </c>
      <c r="I426" t="e">
        <f t="shared" si="20"/>
        <v>#N/A</v>
      </c>
    </row>
    <row r="427" spans="7:9" x14ac:dyDescent="0.3">
      <c r="G427" t="str">
        <f t="shared" si="18"/>
        <v/>
      </c>
      <c r="H427" t="str">
        <f t="shared" si="19"/>
        <v/>
      </c>
      <c r="I427" t="e">
        <f t="shared" si="20"/>
        <v>#N/A</v>
      </c>
    </row>
    <row r="428" spans="7:9" x14ac:dyDescent="0.3">
      <c r="G428" t="str">
        <f t="shared" si="18"/>
        <v/>
      </c>
      <c r="H428" t="str">
        <f t="shared" si="19"/>
        <v/>
      </c>
      <c r="I428" t="e">
        <f t="shared" si="20"/>
        <v>#N/A</v>
      </c>
    </row>
    <row r="429" spans="7:9" x14ac:dyDescent="0.3">
      <c r="G429" t="str">
        <f t="shared" si="18"/>
        <v/>
      </c>
      <c r="H429" t="str">
        <f t="shared" si="19"/>
        <v/>
      </c>
      <c r="I429" t="e">
        <f t="shared" si="20"/>
        <v>#N/A</v>
      </c>
    </row>
    <row r="430" spans="7:9" x14ac:dyDescent="0.3">
      <c r="G430" t="str">
        <f t="shared" si="18"/>
        <v/>
      </c>
      <c r="H430" t="str">
        <f t="shared" si="19"/>
        <v/>
      </c>
      <c r="I430" t="e">
        <f t="shared" si="20"/>
        <v>#N/A</v>
      </c>
    </row>
    <row r="431" spans="7:9" x14ac:dyDescent="0.3">
      <c r="G431" t="str">
        <f t="shared" si="18"/>
        <v/>
      </c>
      <c r="H431" t="str">
        <f t="shared" si="19"/>
        <v/>
      </c>
      <c r="I431" t="e">
        <f t="shared" si="20"/>
        <v>#N/A</v>
      </c>
    </row>
    <row r="432" spans="7:9" x14ac:dyDescent="0.3">
      <c r="G432" t="str">
        <f t="shared" si="18"/>
        <v/>
      </c>
      <c r="H432" t="str">
        <f t="shared" si="19"/>
        <v/>
      </c>
      <c r="I432" t="e">
        <f t="shared" si="20"/>
        <v>#N/A</v>
      </c>
    </row>
    <row r="433" spans="7:9" x14ac:dyDescent="0.3">
      <c r="G433" t="str">
        <f t="shared" si="18"/>
        <v/>
      </c>
      <c r="H433" t="str">
        <f t="shared" si="19"/>
        <v/>
      </c>
      <c r="I433" t="e">
        <f t="shared" si="20"/>
        <v>#N/A</v>
      </c>
    </row>
    <row r="434" spans="7:9" x14ac:dyDescent="0.3">
      <c r="G434" t="str">
        <f t="shared" si="18"/>
        <v/>
      </c>
      <c r="H434" t="str">
        <f t="shared" si="19"/>
        <v/>
      </c>
      <c r="I434" t="e">
        <f t="shared" si="20"/>
        <v>#N/A</v>
      </c>
    </row>
    <row r="435" spans="7:9" x14ac:dyDescent="0.3">
      <c r="G435" t="str">
        <f t="shared" si="18"/>
        <v/>
      </c>
      <c r="H435" t="str">
        <f t="shared" si="19"/>
        <v/>
      </c>
      <c r="I435" t="e">
        <f t="shared" si="20"/>
        <v>#N/A</v>
      </c>
    </row>
    <row r="436" spans="7:9" x14ac:dyDescent="0.3">
      <c r="G436" t="str">
        <f t="shared" si="18"/>
        <v/>
      </c>
      <c r="H436" t="str">
        <f t="shared" si="19"/>
        <v/>
      </c>
      <c r="I436" t="e">
        <f t="shared" si="20"/>
        <v>#N/A</v>
      </c>
    </row>
    <row r="437" spans="7:9" x14ac:dyDescent="0.3">
      <c r="G437" t="str">
        <f t="shared" si="18"/>
        <v/>
      </c>
      <c r="H437" t="str">
        <f t="shared" si="19"/>
        <v/>
      </c>
      <c r="I437" t="e">
        <f t="shared" si="20"/>
        <v>#N/A</v>
      </c>
    </row>
    <row r="438" spans="7:9" x14ac:dyDescent="0.3">
      <c r="G438" t="str">
        <f t="shared" si="18"/>
        <v/>
      </c>
      <c r="H438" t="str">
        <f t="shared" si="19"/>
        <v/>
      </c>
      <c r="I438" t="e">
        <f t="shared" si="20"/>
        <v>#N/A</v>
      </c>
    </row>
    <row r="439" spans="7:9" x14ac:dyDescent="0.3">
      <c r="G439" t="str">
        <f t="shared" si="18"/>
        <v/>
      </c>
      <c r="H439" t="str">
        <f t="shared" si="19"/>
        <v/>
      </c>
      <c r="I439" t="e">
        <f t="shared" si="20"/>
        <v>#N/A</v>
      </c>
    </row>
    <row r="440" spans="7:9" x14ac:dyDescent="0.3">
      <c r="G440" t="str">
        <f t="shared" si="18"/>
        <v/>
      </c>
      <c r="H440" t="str">
        <f t="shared" si="19"/>
        <v/>
      </c>
      <c r="I440" t="e">
        <f t="shared" si="20"/>
        <v>#N/A</v>
      </c>
    </row>
    <row r="441" spans="7:9" x14ac:dyDescent="0.3">
      <c r="G441" t="str">
        <f t="shared" si="18"/>
        <v/>
      </c>
      <c r="H441" t="str">
        <f t="shared" si="19"/>
        <v/>
      </c>
      <c r="I441" t="e">
        <f t="shared" si="20"/>
        <v>#N/A</v>
      </c>
    </row>
    <row r="442" spans="7:9" x14ac:dyDescent="0.3">
      <c r="G442" t="str">
        <f t="shared" si="18"/>
        <v/>
      </c>
      <c r="H442" t="str">
        <f t="shared" si="19"/>
        <v/>
      </c>
      <c r="I442" t="e">
        <f t="shared" si="20"/>
        <v>#N/A</v>
      </c>
    </row>
    <row r="443" spans="7:9" x14ac:dyDescent="0.3">
      <c r="G443" t="str">
        <f t="shared" si="18"/>
        <v/>
      </c>
      <c r="H443" t="str">
        <f t="shared" si="19"/>
        <v/>
      </c>
      <c r="I443" t="e">
        <f t="shared" si="20"/>
        <v>#N/A</v>
      </c>
    </row>
    <row r="444" spans="7:9" x14ac:dyDescent="0.3">
      <c r="G444" t="str">
        <f t="shared" si="18"/>
        <v/>
      </c>
      <c r="H444" t="str">
        <f t="shared" si="19"/>
        <v/>
      </c>
      <c r="I444" t="e">
        <f t="shared" si="20"/>
        <v>#N/A</v>
      </c>
    </row>
    <row r="445" spans="7:9" x14ac:dyDescent="0.3">
      <c r="G445" t="str">
        <f t="shared" si="18"/>
        <v/>
      </c>
      <c r="H445" t="str">
        <f t="shared" si="19"/>
        <v/>
      </c>
      <c r="I445" t="e">
        <f t="shared" si="20"/>
        <v>#N/A</v>
      </c>
    </row>
    <row r="446" spans="7:9" x14ac:dyDescent="0.3">
      <c r="G446" t="str">
        <f t="shared" si="18"/>
        <v/>
      </c>
      <c r="H446" t="str">
        <f t="shared" si="19"/>
        <v/>
      </c>
      <c r="I446" t="e">
        <f t="shared" si="20"/>
        <v>#N/A</v>
      </c>
    </row>
    <row r="447" spans="7:9" x14ac:dyDescent="0.3">
      <c r="G447" t="str">
        <f t="shared" si="18"/>
        <v/>
      </c>
      <c r="H447" t="str">
        <f t="shared" si="19"/>
        <v/>
      </c>
      <c r="I447" t="e">
        <f t="shared" si="20"/>
        <v>#N/A</v>
      </c>
    </row>
    <row r="448" spans="7:9" x14ac:dyDescent="0.3">
      <c r="G448" t="str">
        <f t="shared" si="18"/>
        <v/>
      </c>
      <c r="H448" t="str">
        <f t="shared" si="19"/>
        <v/>
      </c>
      <c r="I448" t="e">
        <f t="shared" si="20"/>
        <v>#N/A</v>
      </c>
    </row>
    <row r="449" spans="7:9" x14ac:dyDescent="0.3">
      <c r="G449" t="str">
        <f t="shared" si="18"/>
        <v/>
      </c>
      <c r="H449" t="str">
        <f t="shared" si="19"/>
        <v/>
      </c>
      <c r="I449" t="e">
        <f t="shared" si="20"/>
        <v>#N/A</v>
      </c>
    </row>
    <row r="450" spans="7:9" x14ac:dyDescent="0.3">
      <c r="G450" t="str">
        <f t="shared" si="18"/>
        <v/>
      </c>
      <c r="H450" t="str">
        <f t="shared" si="19"/>
        <v/>
      </c>
      <c r="I450" t="e">
        <f t="shared" si="20"/>
        <v>#N/A</v>
      </c>
    </row>
    <row r="451" spans="7:9" x14ac:dyDescent="0.3">
      <c r="G451" t="str">
        <f t="shared" ref="G451:G514" si="21">RIGHT(F451,5)</f>
        <v/>
      </c>
      <c r="H451" t="str">
        <f t="shared" ref="H451:H514" si="22">LEFT(F451,3)</f>
        <v/>
      </c>
      <c r="I451" t="e">
        <f t="shared" ref="I451:I514" si="23">H451&amp;INDEX(A:A,MATCH(G451,J:J,0))</f>
        <v>#N/A</v>
      </c>
    </row>
    <row r="452" spans="7:9" x14ac:dyDescent="0.3">
      <c r="G452" t="str">
        <f t="shared" si="21"/>
        <v/>
      </c>
      <c r="H452" t="str">
        <f t="shared" si="22"/>
        <v/>
      </c>
      <c r="I452" t="e">
        <f t="shared" si="23"/>
        <v>#N/A</v>
      </c>
    </row>
    <row r="453" spans="7:9" x14ac:dyDescent="0.3">
      <c r="G453" t="str">
        <f t="shared" si="21"/>
        <v/>
      </c>
      <c r="H453" t="str">
        <f t="shared" si="22"/>
        <v/>
      </c>
      <c r="I453" t="e">
        <f t="shared" si="23"/>
        <v>#N/A</v>
      </c>
    </row>
    <row r="454" spans="7:9" x14ac:dyDescent="0.3">
      <c r="G454" t="str">
        <f t="shared" si="21"/>
        <v/>
      </c>
      <c r="H454" t="str">
        <f t="shared" si="22"/>
        <v/>
      </c>
      <c r="I454" t="e">
        <f t="shared" si="23"/>
        <v>#N/A</v>
      </c>
    </row>
    <row r="455" spans="7:9" x14ac:dyDescent="0.3">
      <c r="G455" t="str">
        <f t="shared" si="21"/>
        <v/>
      </c>
      <c r="H455" t="str">
        <f t="shared" si="22"/>
        <v/>
      </c>
      <c r="I455" t="e">
        <f t="shared" si="23"/>
        <v>#N/A</v>
      </c>
    </row>
    <row r="456" spans="7:9" x14ac:dyDescent="0.3">
      <c r="G456" t="str">
        <f t="shared" si="21"/>
        <v/>
      </c>
      <c r="H456" t="str">
        <f t="shared" si="22"/>
        <v/>
      </c>
      <c r="I456" t="e">
        <f t="shared" si="23"/>
        <v>#N/A</v>
      </c>
    </row>
    <row r="457" spans="7:9" x14ac:dyDescent="0.3">
      <c r="G457" t="str">
        <f t="shared" si="21"/>
        <v/>
      </c>
      <c r="H457" t="str">
        <f t="shared" si="22"/>
        <v/>
      </c>
      <c r="I457" t="e">
        <f t="shared" si="23"/>
        <v>#N/A</v>
      </c>
    </row>
    <row r="458" spans="7:9" x14ac:dyDescent="0.3">
      <c r="G458" t="str">
        <f t="shared" si="21"/>
        <v/>
      </c>
      <c r="H458" t="str">
        <f t="shared" si="22"/>
        <v/>
      </c>
      <c r="I458" t="e">
        <f t="shared" si="23"/>
        <v>#N/A</v>
      </c>
    </row>
    <row r="459" spans="7:9" x14ac:dyDescent="0.3">
      <c r="G459" t="str">
        <f t="shared" si="21"/>
        <v/>
      </c>
      <c r="H459" t="str">
        <f t="shared" si="22"/>
        <v/>
      </c>
      <c r="I459" t="e">
        <f t="shared" si="23"/>
        <v>#N/A</v>
      </c>
    </row>
    <row r="460" spans="7:9" x14ac:dyDescent="0.3">
      <c r="G460" t="str">
        <f t="shared" si="21"/>
        <v/>
      </c>
      <c r="H460" t="str">
        <f t="shared" si="22"/>
        <v/>
      </c>
      <c r="I460" t="e">
        <f t="shared" si="23"/>
        <v>#N/A</v>
      </c>
    </row>
    <row r="461" spans="7:9" x14ac:dyDescent="0.3">
      <c r="G461" t="str">
        <f t="shared" si="21"/>
        <v/>
      </c>
      <c r="H461" t="str">
        <f t="shared" si="22"/>
        <v/>
      </c>
      <c r="I461" t="e">
        <f t="shared" si="23"/>
        <v>#N/A</v>
      </c>
    </row>
    <row r="462" spans="7:9" x14ac:dyDescent="0.3">
      <c r="G462" t="str">
        <f t="shared" si="21"/>
        <v/>
      </c>
      <c r="H462" t="str">
        <f t="shared" si="22"/>
        <v/>
      </c>
      <c r="I462" t="e">
        <f t="shared" si="23"/>
        <v>#N/A</v>
      </c>
    </row>
    <row r="463" spans="7:9" x14ac:dyDescent="0.3">
      <c r="G463" t="str">
        <f t="shared" si="21"/>
        <v/>
      </c>
      <c r="H463" t="str">
        <f t="shared" si="22"/>
        <v/>
      </c>
      <c r="I463" t="e">
        <f t="shared" si="23"/>
        <v>#N/A</v>
      </c>
    </row>
    <row r="464" spans="7:9" x14ac:dyDescent="0.3">
      <c r="G464" t="str">
        <f t="shared" si="21"/>
        <v/>
      </c>
      <c r="H464" t="str">
        <f t="shared" si="22"/>
        <v/>
      </c>
      <c r="I464" t="e">
        <f t="shared" si="23"/>
        <v>#N/A</v>
      </c>
    </row>
    <row r="465" spans="7:9" x14ac:dyDescent="0.3">
      <c r="G465" t="str">
        <f t="shared" si="21"/>
        <v/>
      </c>
      <c r="H465" t="str">
        <f t="shared" si="22"/>
        <v/>
      </c>
      <c r="I465" t="e">
        <f t="shared" si="23"/>
        <v>#N/A</v>
      </c>
    </row>
    <row r="466" spans="7:9" x14ac:dyDescent="0.3">
      <c r="G466" t="str">
        <f t="shared" si="21"/>
        <v/>
      </c>
      <c r="H466" t="str">
        <f t="shared" si="22"/>
        <v/>
      </c>
      <c r="I466" t="e">
        <f t="shared" si="23"/>
        <v>#N/A</v>
      </c>
    </row>
    <row r="467" spans="7:9" x14ac:dyDescent="0.3">
      <c r="G467" t="str">
        <f t="shared" si="21"/>
        <v/>
      </c>
      <c r="H467" t="str">
        <f t="shared" si="22"/>
        <v/>
      </c>
      <c r="I467" t="e">
        <f t="shared" si="23"/>
        <v>#N/A</v>
      </c>
    </row>
    <row r="468" spans="7:9" x14ac:dyDescent="0.3">
      <c r="G468" t="str">
        <f t="shared" si="21"/>
        <v/>
      </c>
      <c r="H468" t="str">
        <f t="shared" si="22"/>
        <v/>
      </c>
      <c r="I468" t="e">
        <f t="shared" si="23"/>
        <v>#N/A</v>
      </c>
    </row>
    <row r="469" spans="7:9" x14ac:dyDescent="0.3">
      <c r="G469" t="str">
        <f t="shared" si="21"/>
        <v/>
      </c>
      <c r="H469" t="str">
        <f t="shared" si="22"/>
        <v/>
      </c>
      <c r="I469" t="e">
        <f t="shared" si="23"/>
        <v>#N/A</v>
      </c>
    </row>
    <row r="470" spans="7:9" x14ac:dyDescent="0.3">
      <c r="G470" t="str">
        <f t="shared" si="21"/>
        <v/>
      </c>
      <c r="H470" t="str">
        <f t="shared" si="22"/>
        <v/>
      </c>
      <c r="I470" t="e">
        <f t="shared" si="23"/>
        <v>#N/A</v>
      </c>
    </row>
    <row r="471" spans="7:9" x14ac:dyDescent="0.3">
      <c r="G471" t="str">
        <f t="shared" si="21"/>
        <v/>
      </c>
      <c r="H471" t="str">
        <f t="shared" si="22"/>
        <v/>
      </c>
      <c r="I471" t="e">
        <f t="shared" si="23"/>
        <v>#N/A</v>
      </c>
    </row>
    <row r="472" spans="7:9" x14ac:dyDescent="0.3">
      <c r="G472" t="str">
        <f t="shared" si="21"/>
        <v/>
      </c>
      <c r="H472" t="str">
        <f t="shared" si="22"/>
        <v/>
      </c>
      <c r="I472" t="e">
        <f t="shared" si="23"/>
        <v>#N/A</v>
      </c>
    </row>
    <row r="473" spans="7:9" x14ac:dyDescent="0.3">
      <c r="G473" t="str">
        <f t="shared" si="21"/>
        <v/>
      </c>
      <c r="H473" t="str">
        <f t="shared" si="22"/>
        <v/>
      </c>
      <c r="I473" t="e">
        <f t="shared" si="23"/>
        <v>#N/A</v>
      </c>
    </row>
    <row r="474" spans="7:9" x14ac:dyDescent="0.3">
      <c r="G474" t="str">
        <f t="shared" si="21"/>
        <v/>
      </c>
      <c r="H474" t="str">
        <f t="shared" si="22"/>
        <v/>
      </c>
      <c r="I474" t="e">
        <f t="shared" si="23"/>
        <v>#N/A</v>
      </c>
    </row>
    <row r="475" spans="7:9" x14ac:dyDescent="0.3">
      <c r="G475" t="str">
        <f t="shared" si="21"/>
        <v/>
      </c>
      <c r="H475" t="str">
        <f t="shared" si="22"/>
        <v/>
      </c>
      <c r="I475" t="e">
        <f t="shared" si="23"/>
        <v>#N/A</v>
      </c>
    </row>
    <row r="476" spans="7:9" x14ac:dyDescent="0.3">
      <c r="G476" t="str">
        <f t="shared" si="21"/>
        <v/>
      </c>
      <c r="H476" t="str">
        <f t="shared" si="22"/>
        <v/>
      </c>
      <c r="I476" t="e">
        <f t="shared" si="23"/>
        <v>#N/A</v>
      </c>
    </row>
    <row r="477" spans="7:9" x14ac:dyDescent="0.3">
      <c r="G477" t="str">
        <f t="shared" si="21"/>
        <v/>
      </c>
      <c r="H477" t="str">
        <f t="shared" si="22"/>
        <v/>
      </c>
      <c r="I477" t="e">
        <f t="shared" si="23"/>
        <v>#N/A</v>
      </c>
    </row>
    <row r="478" spans="7:9" x14ac:dyDescent="0.3">
      <c r="G478" t="str">
        <f t="shared" si="21"/>
        <v/>
      </c>
      <c r="H478" t="str">
        <f t="shared" si="22"/>
        <v/>
      </c>
      <c r="I478" t="e">
        <f t="shared" si="23"/>
        <v>#N/A</v>
      </c>
    </row>
    <row r="479" spans="7:9" x14ac:dyDescent="0.3">
      <c r="G479" t="str">
        <f t="shared" si="21"/>
        <v/>
      </c>
      <c r="H479" t="str">
        <f t="shared" si="22"/>
        <v/>
      </c>
      <c r="I479" t="e">
        <f t="shared" si="23"/>
        <v>#N/A</v>
      </c>
    </row>
    <row r="480" spans="7:9" x14ac:dyDescent="0.3">
      <c r="G480" t="str">
        <f t="shared" si="21"/>
        <v/>
      </c>
      <c r="H480" t="str">
        <f t="shared" si="22"/>
        <v/>
      </c>
      <c r="I480" t="e">
        <f t="shared" si="23"/>
        <v>#N/A</v>
      </c>
    </row>
    <row r="481" spans="7:9" x14ac:dyDescent="0.3">
      <c r="G481" t="str">
        <f t="shared" si="21"/>
        <v/>
      </c>
      <c r="H481" t="str">
        <f t="shared" si="22"/>
        <v/>
      </c>
      <c r="I481" t="e">
        <f t="shared" si="23"/>
        <v>#N/A</v>
      </c>
    </row>
    <row r="482" spans="7:9" x14ac:dyDescent="0.3">
      <c r="G482" t="str">
        <f t="shared" si="21"/>
        <v/>
      </c>
      <c r="H482" t="str">
        <f t="shared" si="22"/>
        <v/>
      </c>
      <c r="I482" t="e">
        <f t="shared" si="23"/>
        <v>#N/A</v>
      </c>
    </row>
    <row r="483" spans="7:9" x14ac:dyDescent="0.3">
      <c r="G483" t="str">
        <f t="shared" si="21"/>
        <v/>
      </c>
      <c r="H483" t="str">
        <f t="shared" si="22"/>
        <v/>
      </c>
      <c r="I483" t="e">
        <f t="shared" si="23"/>
        <v>#N/A</v>
      </c>
    </row>
    <row r="484" spans="7:9" x14ac:dyDescent="0.3">
      <c r="G484" t="str">
        <f t="shared" si="21"/>
        <v/>
      </c>
      <c r="H484" t="str">
        <f t="shared" si="22"/>
        <v/>
      </c>
      <c r="I484" t="e">
        <f t="shared" si="23"/>
        <v>#N/A</v>
      </c>
    </row>
    <row r="485" spans="7:9" x14ac:dyDescent="0.3">
      <c r="G485" t="str">
        <f t="shared" si="21"/>
        <v/>
      </c>
      <c r="H485" t="str">
        <f t="shared" si="22"/>
        <v/>
      </c>
      <c r="I485" t="e">
        <f t="shared" si="23"/>
        <v>#N/A</v>
      </c>
    </row>
    <row r="486" spans="7:9" x14ac:dyDescent="0.3">
      <c r="G486" t="str">
        <f t="shared" si="21"/>
        <v/>
      </c>
      <c r="H486" t="str">
        <f t="shared" si="22"/>
        <v/>
      </c>
      <c r="I486" t="e">
        <f t="shared" si="23"/>
        <v>#N/A</v>
      </c>
    </row>
    <row r="487" spans="7:9" x14ac:dyDescent="0.3">
      <c r="G487" t="str">
        <f t="shared" si="21"/>
        <v/>
      </c>
      <c r="H487" t="str">
        <f t="shared" si="22"/>
        <v/>
      </c>
      <c r="I487" t="e">
        <f t="shared" si="23"/>
        <v>#N/A</v>
      </c>
    </row>
    <row r="488" spans="7:9" x14ac:dyDescent="0.3">
      <c r="G488" t="str">
        <f t="shared" si="21"/>
        <v/>
      </c>
      <c r="H488" t="str">
        <f t="shared" si="22"/>
        <v/>
      </c>
      <c r="I488" t="e">
        <f t="shared" si="23"/>
        <v>#N/A</v>
      </c>
    </row>
    <row r="489" spans="7:9" x14ac:dyDescent="0.3">
      <c r="G489" t="str">
        <f t="shared" si="21"/>
        <v/>
      </c>
      <c r="H489" t="str">
        <f t="shared" si="22"/>
        <v/>
      </c>
      <c r="I489" t="e">
        <f t="shared" si="23"/>
        <v>#N/A</v>
      </c>
    </row>
    <row r="490" spans="7:9" x14ac:dyDescent="0.3">
      <c r="G490" t="str">
        <f t="shared" si="21"/>
        <v/>
      </c>
      <c r="H490" t="str">
        <f t="shared" si="22"/>
        <v/>
      </c>
      <c r="I490" t="e">
        <f t="shared" si="23"/>
        <v>#N/A</v>
      </c>
    </row>
    <row r="491" spans="7:9" x14ac:dyDescent="0.3">
      <c r="G491" t="str">
        <f t="shared" si="21"/>
        <v/>
      </c>
      <c r="H491" t="str">
        <f t="shared" si="22"/>
        <v/>
      </c>
      <c r="I491" t="e">
        <f t="shared" si="23"/>
        <v>#N/A</v>
      </c>
    </row>
    <row r="492" spans="7:9" x14ac:dyDescent="0.3">
      <c r="G492" t="str">
        <f t="shared" si="21"/>
        <v/>
      </c>
      <c r="H492" t="str">
        <f t="shared" si="22"/>
        <v/>
      </c>
      <c r="I492" t="e">
        <f t="shared" si="23"/>
        <v>#N/A</v>
      </c>
    </row>
    <row r="493" spans="7:9" x14ac:dyDescent="0.3">
      <c r="G493" t="str">
        <f t="shared" si="21"/>
        <v/>
      </c>
      <c r="H493" t="str">
        <f t="shared" si="22"/>
        <v/>
      </c>
      <c r="I493" t="e">
        <f t="shared" si="23"/>
        <v>#N/A</v>
      </c>
    </row>
    <row r="494" spans="7:9" x14ac:dyDescent="0.3">
      <c r="G494" t="str">
        <f t="shared" si="21"/>
        <v/>
      </c>
      <c r="H494" t="str">
        <f t="shared" si="22"/>
        <v/>
      </c>
      <c r="I494" t="e">
        <f t="shared" si="23"/>
        <v>#N/A</v>
      </c>
    </row>
    <row r="495" spans="7:9" x14ac:dyDescent="0.3">
      <c r="G495" t="str">
        <f t="shared" si="21"/>
        <v/>
      </c>
      <c r="H495" t="str">
        <f t="shared" si="22"/>
        <v/>
      </c>
      <c r="I495" t="e">
        <f t="shared" si="23"/>
        <v>#N/A</v>
      </c>
    </row>
    <row r="496" spans="7:9" x14ac:dyDescent="0.3">
      <c r="G496" t="str">
        <f t="shared" si="21"/>
        <v/>
      </c>
      <c r="H496" t="str">
        <f t="shared" si="22"/>
        <v/>
      </c>
      <c r="I496" t="e">
        <f t="shared" si="23"/>
        <v>#N/A</v>
      </c>
    </row>
    <row r="497" spans="7:9" x14ac:dyDescent="0.3">
      <c r="G497" t="str">
        <f t="shared" si="21"/>
        <v/>
      </c>
      <c r="H497" t="str">
        <f t="shared" si="22"/>
        <v/>
      </c>
      <c r="I497" t="e">
        <f t="shared" si="23"/>
        <v>#N/A</v>
      </c>
    </row>
    <row r="498" spans="7:9" x14ac:dyDescent="0.3">
      <c r="G498" t="str">
        <f t="shared" si="21"/>
        <v/>
      </c>
      <c r="H498" t="str">
        <f t="shared" si="22"/>
        <v/>
      </c>
      <c r="I498" t="e">
        <f t="shared" si="23"/>
        <v>#N/A</v>
      </c>
    </row>
    <row r="499" spans="7:9" x14ac:dyDescent="0.3">
      <c r="G499" t="str">
        <f t="shared" si="21"/>
        <v/>
      </c>
      <c r="H499" t="str">
        <f t="shared" si="22"/>
        <v/>
      </c>
      <c r="I499" t="e">
        <f t="shared" si="23"/>
        <v>#N/A</v>
      </c>
    </row>
    <row r="500" spans="7:9" x14ac:dyDescent="0.3">
      <c r="G500" t="str">
        <f t="shared" si="21"/>
        <v/>
      </c>
      <c r="H500" t="str">
        <f t="shared" si="22"/>
        <v/>
      </c>
      <c r="I500" t="e">
        <f t="shared" si="23"/>
        <v>#N/A</v>
      </c>
    </row>
    <row r="501" spans="7:9" x14ac:dyDescent="0.3">
      <c r="G501" t="str">
        <f t="shared" si="21"/>
        <v/>
      </c>
      <c r="H501" t="str">
        <f t="shared" si="22"/>
        <v/>
      </c>
      <c r="I501" t="e">
        <f t="shared" si="23"/>
        <v>#N/A</v>
      </c>
    </row>
    <row r="502" spans="7:9" x14ac:dyDescent="0.3">
      <c r="G502" t="str">
        <f t="shared" si="21"/>
        <v/>
      </c>
      <c r="H502" t="str">
        <f t="shared" si="22"/>
        <v/>
      </c>
      <c r="I502" t="e">
        <f t="shared" si="23"/>
        <v>#N/A</v>
      </c>
    </row>
    <row r="503" spans="7:9" x14ac:dyDescent="0.3">
      <c r="G503" t="str">
        <f t="shared" si="21"/>
        <v/>
      </c>
      <c r="H503" t="str">
        <f t="shared" si="22"/>
        <v/>
      </c>
      <c r="I503" t="e">
        <f t="shared" si="23"/>
        <v>#N/A</v>
      </c>
    </row>
    <row r="504" spans="7:9" x14ac:dyDescent="0.3">
      <c r="G504" t="str">
        <f t="shared" si="21"/>
        <v/>
      </c>
      <c r="H504" t="str">
        <f t="shared" si="22"/>
        <v/>
      </c>
      <c r="I504" t="e">
        <f t="shared" si="23"/>
        <v>#N/A</v>
      </c>
    </row>
    <row r="505" spans="7:9" x14ac:dyDescent="0.3">
      <c r="G505" t="str">
        <f t="shared" si="21"/>
        <v/>
      </c>
      <c r="H505" t="str">
        <f t="shared" si="22"/>
        <v/>
      </c>
      <c r="I505" t="e">
        <f t="shared" si="23"/>
        <v>#N/A</v>
      </c>
    </row>
    <row r="506" spans="7:9" x14ac:dyDescent="0.3">
      <c r="G506" t="str">
        <f t="shared" si="21"/>
        <v/>
      </c>
      <c r="H506" t="str">
        <f t="shared" si="22"/>
        <v/>
      </c>
      <c r="I506" t="e">
        <f t="shared" si="23"/>
        <v>#N/A</v>
      </c>
    </row>
    <row r="507" spans="7:9" x14ac:dyDescent="0.3">
      <c r="G507" t="str">
        <f t="shared" si="21"/>
        <v/>
      </c>
      <c r="H507" t="str">
        <f t="shared" si="22"/>
        <v/>
      </c>
      <c r="I507" t="e">
        <f t="shared" si="23"/>
        <v>#N/A</v>
      </c>
    </row>
    <row r="508" spans="7:9" x14ac:dyDescent="0.3">
      <c r="G508" t="str">
        <f t="shared" si="21"/>
        <v/>
      </c>
      <c r="H508" t="str">
        <f t="shared" si="22"/>
        <v/>
      </c>
      <c r="I508" t="e">
        <f t="shared" si="23"/>
        <v>#N/A</v>
      </c>
    </row>
    <row r="509" spans="7:9" x14ac:dyDescent="0.3">
      <c r="G509" t="str">
        <f t="shared" si="21"/>
        <v/>
      </c>
      <c r="H509" t="str">
        <f t="shared" si="22"/>
        <v/>
      </c>
      <c r="I509" t="e">
        <f t="shared" si="23"/>
        <v>#N/A</v>
      </c>
    </row>
    <row r="510" spans="7:9" x14ac:dyDescent="0.3">
      <c r="G510" t="str">
        <f t="shared" si="21"/>
        <v/>
      </c>
      <c r="H510" t="str">
        <f t="shared" si="22"/>
        <v/>
      </c>
      <c r="I510" t="e">
        <f t="shared" si="23"/>
        <v>#N/A</v>
      </c>
    </row>
    <row r="511" spans="7:9" x14ac:dyDescent="0.3">
      <c r="G511" t="str">
        <f t="shared" si="21"/>
        <v/>
      </c>
      <c r="H511" t="str">
        <f t="shared" si="22"/>
        <v/>
      </c>
      <c r="I511" t="e">
        <f t="shared" si="23"/>
        <v>#N/A</v>
      </c>
    </row>
    <row r="512" spans="7:9" x14ac:dyDescent="0.3">
      <c r="G512" t="str">
        <f t="shared" si="21"/>
        <v/>
      </c>
      <c r="H512" t="str">
        <f t="shared" si="22"/>
        <v/>
      </c>
      <c r="I512" t="e">
        <f t="shared" si="23"/>
        <v>#N/A</v>
      </c>
    </row>
    <row r="513" spans="7:9" x14ac:dyDescent="0.3">
      <c r="G513" t="str">
        <f t="shared" si="21"/>
        <v/>
      </c>
      <c r="H513" t="str">
        <f t="shared" si="22"/>
        <v/>
      </c>
      <c r="I513" t="e">
        <f t="shared" si="23"/>
        <v>#N/A</v>
      </c>
    </row>
    <row r="514" spans="7:9" x14ac:dyDescent="0.3">
      <c r="G514" t="str">
        <f t="shared" si="21"/>
        <v/>
      </c>
      <c r="H514" t="str">
        <f t="shared" si="22"/>
        <v/>
      </c>
      <c r="I514" t="e">
        <f t="shared" si="23"/>
        <v>#N/A</v>
      </c>
    </row>
    <row r="515" spans="7:9" x14ac:dyDescent="0.3">
      <c r="G515" t="str">
        <f t="shared" ref="G515:G578" si="24">RIGHT(F515,5)</f>
        <v/>
      </c>
      <c r="H515" t="str">
        <f t="shared" ref="H515:H578" si="25">LEFT(F515,3)</f>
        <v/>
      </c>
      <c r="I515" t="e">
        <f t="shared" ref="I515:I578" si="26">H515&amp;INDEX(A:A,MATCH(G515,J:J,0))</f>
        <v>#N/A</v>
      </c>
    </row>
    <row r="516" spans="7:9" x14ac:dyDescent="0.3">
      <c r="G516" t="str">
        <f t="shared" si="24"/>
        <v/>
      </c>
      <c r="H516" t="str">
        <f t="shared" si="25"/>
        <v/>
      </c>
      <c r="I516" t="e">
        <f t="shared" si="26"/>
        <v>#N/A</v>
      </c>
    </row>
    <row r="517" spans="7:9" x14ac:dyDescent="0.3">
      <c r="G517" t="str">
        <f t="shared" si="24"/>
        <v/>
      </c>
      <c r="H517" t="str">
        <f t="shared" si="25"/>
        <v/>
      </c>
      <c r="I517" t="e">
        <f t="shared" si="26"/>
        <v>#N/A</v>
      </c>
    </row>
    <row r="518" spans="7:9" x14ac:dyDescent="0.3">
      <c r="G518" t="str">
        <f t="shared" si="24"/>
        <v/>
      </c>
      <c r="H518" t="str">
        <f t="shared" si="25"/>
        <v/>
      </c>
      <c r="I518" t="e">
        <f t="shared" si="26"/>
        <v>#N/A</v>
      </c>
    </row>
    <row r="519" spans="7:9" x14ac:dyDescent="0.3">
      <c r="G519" t="str">
        <f t="shared" si="24"/>
        <v/>
      </c>
      <c r="H519" t="str">
        <f t="shared" si="25"/>
        <v/>
      </c>
      <c r="I519" t="e">
        <f t="shared" si="26"/>
        <v>#N/A</v>
      </c>
    </row>
    <row r="520" spans="7:9" x14ac:dyDescent="0.3">
      <c r="G520" t="str">
        <f t="shared" si="24"/>
        <v/>
      </c>
      <c r="H520" t="str">
        <f t="shared" si="25"/>
        <v/>
      </c>
      <c r="I520" t="e">
        <f t="shared" si="26"/>
        <v>#N/A</v>
      </c>
    </row>
    <row r="521" spans="7:9" x14ac:dyDescent="0.3">
      <c r="G521" t="str">
        <f t="shared" si="24"/>
        <v/>
      </c>
      <c r="H521" t="str">
        <f t="shared" si="25"/>
        <v/>
      </c>
      <c r="I521" t="e">
        <f t="shared" si="26"/>
        <v>#N/A</v>
      </c>
    </row>
    <row r="522" spans="7:9" x14ac:dyDescent="0.3">
      <c r="G522" t="str">
        <f t="shared" si="24"/>
        <v/>
      </c>
      <c r="H522" t="str">
        <f t="shared" si="25"/>
        <v/>
      </c>
      <c r="I522" t="e">
        <f t="shared" si="26"/>
        <v>#N/A</v>
      </c>
    </row>
    <row r="523" spans="7:9" x14ac:dyDescent="0.3">
      <c r="G523" t="str">
        <f t="shared" si="24"/>
        <v/>
      </c>
      <c r="H523" t="str">
        <f t="shared" si="25"/>
        <v/>
      </c>
      <c r="I523" t="e">
        <f t="shared" si="26"/>
        <v>#N/A</v>
      </c>
    </row>
    <row r="524" spans="7:9" x14ac:dyDescent="0.3">
      <c r="G524" t="str">
        <f t="shared" si="24"/>
        <v/>
      </c>
      <c r="H524" t="str">
        <f t="shared" si="25"/>
        <v/>
      </c>
      <c r="I524" t="e">
        <f t="shared" si="26"/>
        <v>#N/A</v>
      </c>
    </row>
    <row r="525" spans="7:9" x14ac:dyDescent="0.3">
      <c r="G525" t="str">
        <f t="shared" si="24"/>
        <v/>
      </c>
      <c r="H525" t="str">
        <f t="shared" si="25"/>
        <v/>
      </c>
      <c r="I525" t="e">
        <f t="shared" si="26"/>
        <v>#N/A</v>
      </c>
    </row>
    <row r="526" spans="7:9" x14ac:dyDescent="0.3">
      <c r="G526" t="str">
        <f t="shared" si="24"/>
        <v/>
      </c>
      <c r="H526" t="str">
        <f t="shared" si="25"/>
        <v/>
      </c>
      <c r="I526" t="e">
        <f t="shared" si="26"/>
        <v>#N/A</v>
      </c>
    </row>
    <row r="527" spans="7:9" x14ac:dyDescent="0.3">
      <c r="G527" t="str">
        <f t="shared" si="24"/>
        <v/>
      </c>
      <c r="H527" t="str">
        <f t="shared" si="25"/>
        <v/>
      </c>
      <c r="I527" t="e">
        <f t="shared" si="26"/>
        <v>#N/A</v>
      </c>
    </row>
    <row r="528" spans="7:9" x14ac:dyDescent="0.3">
      <c r="G528" t="str">
        <f t="shared" si="24"/>
        <v/>
      </c>
      <c r="H528" t="str">
        <f t="shared" si="25"/>
        <v/>
      </c>
      <c r="I528" t="e">
        <f t="shared" si="26"/>
        <v>#N/A</v>
      </c>
    </row>
    <row r="529" spans="7:9" x14ac:dyDescent="0.3">
      <c r="G529" t="str">
        <f t="shared" si="24"/>
        <v/>
      </c>
      <c r="H529" t="str">
        <f t="shared" si="25"/>
        <v/>
      </c>
      <c r="I529" t="e">
        <f t="shared" si="26"/>
        <v>#N/A</v>
      </c>
    </row>
    <row r="530" spans="7:9" x14ac:dyDescent="0.3">
      <c r="G530" t="str">
        <f t="shared" si="24"/>
        <v/>
      </c>
      <c r="H530" t="str">
        <f t="shared" si="25"/>
        <v/>
      </c>
      <c r="I530" t="e">
        <f t="shared" si="26"/>
        <v>#N/A</v>
      </c>
    </row>
    <row r="531" spans="7:9" x14ac:dyDescent="0.3">
      <c r="G531" t="str">
        <f t="shared" si="24"/>
        <v/>
      </c>
      <c r="H531" t="str">
        <f t="shared" si="25"/>
        <v/>
      </c>
      <c r="I531" t="e">
        <f t="shared" si="26"/>
        <v>#N/A</v>
      </c>
    </row>
    <row r="532" spans="7:9" x14ac:dyDescent="0.3">
      <c r="G532" t="str">
        <f t="shared" si="24"/>
        <v/>
      </c>
      <c r="H532" t="str">
        <f t="shared" si="25"/>
        <v/>
      </c>
      <c r="I532" t="e">
        <f t="shared" si="26"/>
        <v>#N/A</v>
      </c>
    </row>
    <row r="533" spans="7:9" x14ac:dyDescent="0.3">
      <c r="G533" t="str">
        <f t="shared" si="24"/>
        <v/>
      </c>
      <c r="H533" t="str">
        <f t="shared" si="25"/>
        <v/>
      </c>
      <c r="I533" t="e">
        <f t="shared" si="26"/>
        <v>#N/A</v>
      </c>
    </row>
    <row r="534" spans="7:9" x14ac:dyDescent="0.3">
      <c r="G534" t="str">
        <f t="shared" si="24"/>
        <v/>
      </c>
      <c r="H534" t="str">
        <f t="shared" si="25"/>
        <v/>
      </c>
      <c r="I534" t="e">
        <f t="shared" si="26"/>
        <v>#N/A</v>
      </c>
    </row>
    <row r="535" spans="7:9" x14ac:dyDescent="0.3">
      <c r="G535" t="str">
        <f t="shared" si="24"/>
        <v/>
      </c>
      <c r="H535" t="str">
        <f t="shared" si="25"/>
        <v/>
      </c>
      <c r="I535" t="e">
        <f t="shared" si="26"/>
        <v>#N/A</v>
      </c>
    </row>
    <row r="536" spans="7:9" x14ac:dyDescent="0.3">
      <c r="G536" t="str">
        <f t="shared" si="24"/>
        <v/>
      </c>
      <c r="H536" t="str">
        <f t="shared" si="25"/>
        <v/>
      </c>
      <c r="I536" t="e">
        <f t="shared" si="26"/>
        <v>#N/A</v>
      </c>
    </row>
    <row r="537" spans="7:9" x14ac:dyDescent="0.3">
      <c r="G537" t="str">
        <f t="shared" si="24"/>
        <v/>
      </c>
      <c r="H537" t="str">
        <f t="shared" si="25"/>
        <v/>
      </c>
      <c r="I537" t="e">
        <f t="shared" si="26"/>
        <v>#N/A</v>
      </c>
    </row>
    <row r="538" spans="7:9" x14ac:dyDescent="0.3">
      <c r="G538" t="str">
        <f t="shared" si="24"/>
        <v/>
      </c>
      <c r="H538" t="str">
        <f t="shared" si="25"/>
        <v/>
      </c>
      <c r="I538" t="e">
        <f t="shared" si="26"/>
        <v>#N/A</v>
      </c>
    </row>
    <row r="539" spans="7:9" x14ac:dyDescent="0.3">
      <c r="G539" t="str">
        <f t="shared" si="24"/>
        <v/>
      </c>
      <c r="H539" t="str">
        <f t="shared" si="25"/>
        <v/>
      </c>
      <c r="I539" t="e">
        <f t="shared" si="26"/>
        <v>#N/A</v>
      </c>
    </row>
    <row r="540" spans="7:9" x14ac:dyDescent="0.3">
      <c r="G540" t="str">
        <f t="shared" si="24"/>
        <v/>
      </c>
      <c r="H540" t="str">
        <f t="shared" si="25"/>
        <v/>
      </c>
      <c r="I540" t="e">
        <f t="shared" si="26"/>
        <v>#N/A</v>
      </c>
    </row>
    <row r="541" spans="7:9" x14ac:dyDescent="0.3">
      <c r="G541" t="str">
        <f t="shared" si="24"/>
        <v/>
      </c>
      <c r="H541" t="str">
        <f t="shared" si="25"/>
        <v/>
      </c>
      <c r="I541" t="e">
        <f t="shared" si="26"/>
        <v>#N/A</v>
      </c>
    </row>
    <row r="542" spans="7:9" x14ac:dyDescent="0.3">
      <c r="G542" t="str">
        <f t="shared" si="24"/>
        <v/>
      </c>
      <c r="H542" t="str">
        <f t="shared" si="25"/>
        <v/>
      </c>
      <c r="I542" t="e">
        <f t="shared" si="26"/>
        <v>#N/A</v>
      </c>
    </row>
    <row r="543" spans="7:9" x14ac:dyDescent="0.3">
      <c r="G543" t="str">
        <f t="shared" si="24"/>
        <v/>
      </c>
      <c r="H543" t="str">
        <f t="shared" si="25"/>
        <v/>
      </c>
      <c r="I543" t="e">
        <f t="shared" si="26"/>
        <v>#N/A</v>
      </c>
    </row>
    <row r="544" spans="7:9" x14ac:dyDescent="0.3">
      <c r="G544" t="str">
        <f t="shared" si="24"/>
        <v/>
      </c>
      <c r="H544" t="str">
        <f t="shared" si="25"/>
        <v/>
      </c>
      <c r="I544" t="e">
        <f t="shared" si="26"/>
        <v>#N/A</v>
      </c>
    </row>
    <row r="545" spans="7:9" x14ac:dyDescent="0.3">
      <c r="G545" t="str">
        <f t="shared" si="24"/>
        <v/>
      </c>
      <c r="H545" t="str">
        <f t="shared" si="25"/>
        <v/>
      </c>
      <c r="I545" t="e">
        <f t="shared" si="26"/>
        <v>#N/A</v>
      </c>
    </row>
    <row r="546" spans="7:9" x14ac:dyDescent="0.3">
      <c r="G546" t="str">
        <f t="shared" si="24"/>
        <v/>
      </c>
      <c r="H546" t="str">
        <f t="shared" si="25"/>
        <v/>
      </c>
      <c r="I546" t="e">
        <f t="shared" si="26"/>
        <v>#N/A</v>
      </c>
    </row>
    <row r="547" spans="7:9" x14ac:dyDescent="0.3">
      <c r="G547" t="str">
        <f t="shared" si="24"/>
        <v/>
      </c>
      <c r="H547" t="str">
        <f t="shared" si="25"/>
        <v/>
      </c>
      <c r="I547" t="e">
        <f t="shared" si="26"/>
        <v>#N/A</v>
      </c>
    </row>
    <row r="548" spans="7:9" x14ac:dyDescent="0.3">
      <c r="G548" t="str">
        <f t="shared" si="24"/>
        <v/>
      </c>
      <c r="H548" t="str">
        <f t="shared" si="25"/>
        <v/>
      </c>
      <c r="I548" t="e">
        <f t="shared" si="26"/>
        <v>#N/A</v>
      </c>
    </row>
    <row r="549" spans="7:9" x14ac:dyDescent="0.3">
      <c r="G549" t="str">
        <f t="shared" si="24"/>
        <v/>
      </c>
      <c r="H549" t="str">
        <f t="shared" si="25"/>
        <v/>
      </c>
      <c r="I549" t="e">
        <f t="shared" si="26"/>
        <v>#N/A</v>
      </c>
    </row>
    <row r="550" spans="7:9" x14ac:dyDescent="0.3">
      <c r="G550" t="str">
        <f t="shared" si="24"/>
        <v/>
      </c>
      <c r="H550" t="str">
        <f t="shared" si="25"/>
        <v/>
      </c>
      <c r="I550" t="e">
        <f t="shared" si="26"/>
        <v>#N/A</v>
      </c>
    </row>
    <row r="551" spans="7:9" x14ac:dyDescent="0.3">
      <c r="G551" t="str">
        <f t="shared" si="24"/>
        <v/>
      </c>
      <c r="H551" t="str">
        <f t="shared" si="25"/>
        <v/>
      </c>
      <c r="I551" t="e">
        <f t="shared" si="26"/>
        <v>#N/A</v>
      </c>
    </row>
    <row r="552" spans="7:9" x14ac:dyDescent="0.3">
      <c r="G552" t="str">
        <f t="shared" si="24"/>
        <v/>
      </c>
      <c r="H552" t="str">
        <f t="shared" si="25"/>
        <v/>
      </c>
      <c r="I552" t="e">
        <f t="shared" si="26"/>
        <v>#N/A</v>
      </c>
    </row>
    <row r="553" spans="7:9" x14ac:dyDescent="0.3">
      <c r="G553" t="str">
        <f t="shared" si="24"/>
        <v/>
      </c>
      <c r="H553" t="str">
        <f t="shared" si="25"/>
        <v/>
      </c>
      <c r="I553" t="e">
        <f t="shared" si="26"/>
        <v>#N/A</v>
      </c>
    </row>
    <row r="554" spans="7:9" x14ac:dyDescent="0.3">
      <c r="G554" t="str">
        <f t="shared" si="24"/>
        <v/>
      </c>
      <c r="H554" t="str">
        <f t="shared" si="25"/>
        <v/>
      </c>
      <c r="I554" t="e">
        <f t="shared" si="26"/>
        <v>#N/A</v>
      </c>
    </row>
    <row r="555" spans="7:9" x14ac:dyDescent="0.3">
      <c r="G555" t="str">
        <f t="shared" si="24"/>
        <v/>
      </c>
      <c r="H555" t="str">
        <f t="shared" si="25"/>
        <v/>
      </c>
      <c r="I555" t="e">
        <f t="shared" si="26"/>
        <v>#N/A</v>
      </c>
    </row>
    <row r="556" spans="7:9" x14ac:dyDescent="0.3">
      <c r="G556" t="str">
        <f t="shared" si="24"/>
        <v/>
      </c>
      <c r="H556" t="str">
        <f t="shared" si="25"/>
        <v/>
      </c>
      <c r="I556" t="e">
        <f t="shared" si="26"/>
        <v>#N/A</v>
      </c>
    </row>
    <row r="557" spans="7:9" x14ac:dyDescent="0.3">
      <c r="G557" t="str">
        <f t="shared" si="24"/>
        <v/>
      </c>
      <c r="H557" t="str">
        <f t="shared" si="25"/>
        <v/>
      </c>
      <c r="I557" t="e">
        <f t="shared" si="26"/>
        <v>#N/A</v>
      </c>
    </row>
    <row r="558" spans="7:9" x14ac:dyDescent="0.3">
      <c r="G558" t="str">
        <f t="shared" si="24"/>
        <v/>
      </c>
      <c r="H558" t="str">
        <f t="shared" si="25"/>
        <v/>
      </c>
      <c r="I558" t="e">
        <f t="shared" si="26"/>
        <v>#N/A</v>
      </c>
    </row>
    <row r="559" spans="7:9" x14ac:dyDescent="0.3">
      <c r="G559" t="str">
        <f t="shared" si="24"/>
        <v/>
      </c>
      <c r="H559" t="str">
        <f t="shared" si="25"/>
        <v/>
      </c>
      <c r="I559" t="e">
        <f t="shared" si="26"/>
        <v>#N/A</v>
      </c>
    </row>
    <row r="560" spans="7:9" x14ac:dyDescent="0.3">
      <c r="G560" t="str">
        <f t="shared" si="24"/>
        <v/>
      </c>
      <c r="H560" t="str">
        <f t="shared" si="25"/>
        <v/>
      </c>
      <c r="I560" t="e">
        <f t="shared" si="26"/>
        <v>#N/A</v>
      </c>
    </row>
    <row r="561" spans="7:9" x14ac:dyDescent="0.3">
      <c r="G561" t="str">
        <f t="shared" si="24"/>
        <v/>
      </c>
      <c r="H561" t="str">
        <f t="shared" si="25"/>
        <v/>
      </c>
      <c r="I561" t="e">
        <f t="shared" si="26"/>
        <v>#N/A</v>
      </c>
    </row>
    <row r="562" spans="7:9" x14ac:dyDescent="0.3">
      <c r="G562" t="str">
        <f t="shared" si="24"/>
        <v/>
      </c>
      <c r="H562" t="str">
        <f t="shared" si="25"/>
        <v/>
      </c>
      <c r="I562" t="e">
        <f t="shared" si="26"/>
        <v>#N/A</v>
      </c>
    </row>
    <row r="563" spans="7:9" x14ac:dyDescent="0.3">
      <c r="G563" t="str">
        <f t="shared" si="24"/>
        <v/>
      </c>
      <c r="H563" t="str">
        <f t="shared" si="25"/>
        <v/>
      </c>
      <c r="I563" t="e">
        <f t="shared" si="26"/>
        <v>#N/A</v>
      </c>
    </row>
    <row r="564" spans="7:9" x14ac:dyDescent="0.3">
      <c r="G564" t="str">
        <f t="shared" si="24"/>
        <v/>
      </c>
      <c r="H564" t="str">
        <f t="shared" si="25"/>
        <v/>
      </c>
      <c r="I564" t="e">
        <f t="shared" si="26"/>
        <v>#N/A</v>
      </c>
    </row>
    <row r="565" spans="7:9" x14ac:dyDescent="0.3">
      <c r="G565" t="str">
        <f t="shared" si="24"/>
        <v/>
      </c>
      <c r="H565" t="str">
        <f t="shared" si="25"/>
        <v/>
      </c>
      <c r="I565" t="e">
        <f t="shared" si="26"/>
        <v>#N/A</v>
      </c>
    </row>
    <row r="566" spans="7:9" x14ac:dyDescent="0.3">
      <c r="G566" t="str">
        <f t="shared" si="24"/>
        <v/>
      </c>
      <c r="H566" t="str">
        <f t="shared" si="25"/>
        <v/>
      </c>
      <c r="I566" t="e">
        <f t="shared" si="26"/>
        <v>#N/A</v>
      </c>
    </row>
    <row r="567" spans="7:9" x14ac:dyDescent="0.3">
      <c r="G567" t="str">
        <f t="shared" si="24"/>
        <v/>
      </c>
      <c r="H567" t="str">
        <f t="shared" si="25"/>
        <v/>
      </c>
      <c r="I567" t="e">
        <f t="shared" si="26"/>
        <v>#N/A</v>
      </c>
    </row>
    <row r="568" spans="7:9" x14ac:dyDescent="0.3">
      <c r="G568" t="str">
        <f t="shared" si="24"/>
        <v/>
      </c>
      <c r="H568" t="str">
        <f t="shared" si="25"/>
        <v/>
      </c>
      <c r="I568" t="e">
        <f t="shared" si="26"/>
        <v>#N/A</v>
      </c>
    </row>
    <row r="569" spans="7:9" x14ac:dyDescent="0.3">
      <c r="G569" t="str">
        <f t="shared" si="24"/>
        <v/>
      </c>
      <c r="H569" t="str">
        <f t="shared" si="25"/>
        <v/>
      </c>
      <c r="I569" t="e">
        <f t="shared" si="26"/>
        <v>#N/A</v>
      </c>
    </row>
    <row r="570" spans="7:9" x14ac:dyDescent="0.3">
      <c r="G570" t="str">
        <f t="shared" si="24"/>
        <v/>
      </c>
      <c r="H570" t="str">
        <f t="shared" si="25"/>
        <v/>
      </c>
      <c r="I570" t="e">
        <f t="shared" si="26"/>
        <v>#N/A</v>
      </c>
    </row>
    <row r="571" spans="7:9" x14ac:dyDescent="0.3">
      <c r="G571" t="str">
        <f t="shared" si="24"/>
        <v/>
      </c>
      <c r="H571" t="str">
        <f t="shared" si="25"/>
        <v/>
      </c>
      <c r="I571" t="e">
        <f t="shared" si="26"/>
        <v>#N/A</v>
      </c>
    </row>
    <row r="572" spans="7:9" x14ac:dyDescent="0.3">
      <c r="G572" t="str">
        <f t="shared" si="24"/>
        <v/>
      </c>
      <c r="H572" t="str">
        <f t="shared" si="25"/>
        <v/>
      </c>
      <c r="I572" t="e">
        <f t="shared" si="26"/>
        <v>#N/A</v>
      </c>
    </row>
    <row r="573" spans="7:9" x14ac:dyDescent="0.3">
      <c r="G573" t="str">
        <f t="shared" si="24"/>
        <v/>
      </c>
      <c r="H573" t="str">
        <f t="shared" si="25"/>
        <v/>
      </c>
      <c r="I573" t="e">
        <f t="shared" si="26"/>
        <v>#N/A</v>
      </c>
    </row>
    <row r="574" spans="7:9" x14ac:dyDescent="0.3">
      <c r="G574" t="str">
        <f t="shared" si="24"/>
        <v/>
      </c>
      <c r="H574" t="str">
        <f t="shared" si="25"/>
        <v/>
      </c>
      <c r="I574" t="e">
        <f t="shared" si="26"/>
        <v>#N/A</v>
      </c>
    </row>
    <row r="575" spans="7:9" x14ac:dyDescent="0.3">
      <c r="G575" t="str">
        <f t="shared" si="24"/>
        <v/>
      </c>
      <c r="H575" t="str">
        <f t="shared" si="25"/>
        <v/>
      </c>
      <c r="I575" t="e">
        <f t="shared" si="26"/>
        <v>#N/A</v>
      </c>
    </row>
    <row r="576" spans="7:9" x14ac:dyDescent="0.3">
      <c r="G576" t="str">
        <f t="shared" si="24"/>
        <v/>
      </c>
      <c r="H576" t="str">
        <f t="shared" si="25"/>
        <v/>
      </c>
      <c r="I576" t="e">
        <f t="shared" si="26"/>
        <v>#N/A</v>
      </c>
    </row>
    <row r="577" spans="7:9" x14ac:dyDescent="0.3">
      <c r="G577" t="str">
        <f t="shared" si="24"/>
        <v/>
      </c>
      <c r="H577" t="str">
        <f t="shared" si="25"/>
        <v/>
      </c>
      <c r="I577" t="e">
        <f t="shared" si="26"/>
        <v>#N/A</v>
      </c>
    </row>
    <row r="578" spans="7:9" x14ac:dyDescent="0.3">
      <c r="G578" t="str">
        <f t="shared" si="24"/>
        <v/>
      </c>
      <c r="H578" t="str">
        <f t="shared" si="25"/>
        <v/>
      </c>
      <c r="I578" t="e">
        <f t="shared" si="26"/>
        <v>#N/A</v>
      </c>
    </row>
    <row r="579" spans="7:9" x14ac:dyDescent="0.3">
      <c r="G579" t="str">
        <f t="shared" ref="G579:G633" si="27">RIGHT(F579,5)</f>
        <v/>
      </c>
      <c r="H579" t="str">
        <f t="shared" ref="H579:H633" si="28">LEFT(F579,3)</f>
        <v/>
      </c>
      <c r="I579" t="e">
        <f t="shared" ref="I579:I633" si="29">H579&amp;INDEX(A:A,MATCH(G579,J:J,0))</f>
        <v>#N/A</v>
      </c>
    </row>
    <row r="580" spans="7:9" x14ac:dyDescent="0.3">
      <c r="G580" t="str">
        <f t="shared" si="27"/>
        <v/>
      </c>
      <c r="H580" t="str">
        <f t="shared" si="28"/>
        <v/>
      </c>
      <c r="I580" t="e">
        <f t="shared" si="29"/>
        <v>#N/A</v>
      </c>
    </row>
    <row r="581" spans="7:9" x14ac:dyDescent="0.3">
      <c r="G581" t="str">
        <f t="shared" si="27"/>
        <v/>
      </c>
      <c r="H581" t="str">
        <f t="shared" si="28"/>
        <v/>
      </c>
      <c r="I581" t="e">
        <f t="shared" si="29"/>
        <v>#N/A</v>
      </c>
    </row>
    <row r="582" spans="7:9" x14ac:dyDescent="0.3">
      <c r="G582" t="str">
        <f t="shared" si="27"/>
        <v/>
      </c>
      <c r="H582" t="str">
        <f t="shared" si="28"/>
        <v/>
      </c>
      <c r="I582" t="e">
        <f t="shared" si="29"/>
        <v>#N/A</v>
      </c>
    </row>
    <row r="583" spans="7:9" x14ac:dyDescent="0.3">
      <c r="G583" t="str">
        <f t="shared" si="27"/>
        <v/>
      </c>
      <c r="H583" t="str">
        <f t="shared" si="28"/>
        <v/>
      </c>
      <c r="I583" t="e">
        <f t="shared" si="29"/>
        <v>#N/A</v>
      </c>
    </row>
    <row r="584" spans="7:9" x14ac:dyDescent="0.3">
      <c r="G584" t="str">
        <f t="shared" si="27"/>
        <v/>
      </c>
      <c r="H584" t="str">
        <f t="shared" si="28"/>
        <v/>
      </c>
      <c r="I584" t="e">
        <f t="shared" si="29"/>
        <v>#N/A</v>
      </c>
    </row>
    <row r="585" spans="7:9" x14ac:dyDescent="0.3">
      <c r="G585" t="str">
        <f t="shared" si="27"/>
        <v/>
      </c>
      <c r="H585" t="str">
        <f t="shared" si="28"/>
        <v/>
      </c>
      <c r="I585" t="e">
        <f t="shared" si="29"/>
        <v>#N/A</v>
      </c>
    </row>
    <row r="586" spans="7:9" x14ac:dyDescent="0.3">
      <c r="G586" t="str">
        <f t="shared" si="27"/>
        <v/>
      </c>
      <c r="H586" t="str">
        <f t="shared" si="28"/>
        <v/>
      </c>
      <c r="I586" t="e">
        <f t="shared" si="29"/>
        <v>#N/A</v>
      </c>
    </row>
    <row r="587" spans="7:9" x14ac:dyDescent="0.3">
      <c r="G587" t="str">
        <f t="shared" si="27"/>
        <v/>
      </c>
      <c r="H587" t="str">
        <f t="shared" si="28"/>
        <v/>
      </c>
      <c r="I587" t="e">
        <f t="shared" si="29"/>
        <v>#N/A</v>
      </c>
    </row>
    <row r="588" spans="7:9" x14ac:dyDescent="0.3">
      <c r="G588" t="str">
        <f t="shared" si="27"/>
        <v/>
      </c>
      <c r="H588" t="str">
        <f t="shared" si="28"/>
        <v/>
      </c>
      <c r="I588" t="e">
        <f t="shared" si="29"/>
        <v>#N/A</v>
      </c>
    </row>
    <row r="589" spans="7:9" x14ac:dyDescent="0.3">
      <c r="G589" t="str">
        <f t="shared" si="27"/>
        <v/>
      </c>
      <c r="H589" t="str">
        <f t="shared" si="28"/>
        <v/>
      </c>
      <c r="I589" t="e">
        <f t="shared" si="29"/>
        <v>#N/A</v>
      </c>
    </row>
    <row r="590" spans="7:9" x14ac:dyDescent="0.3">
      <c r="G590" t="str">
        <f t="shared" si="27"/>
        <v/>
      </c>
      <c r="H590" t="str">
        <f t="shared" si="28"/>
        <v/>
      </c>
      <c r="I590" t="e">
        <f t="shared" si="29"/>
        <v>#N/A</v>
      </c>
    </row>
    <row r="591" spans="7:9" x14ac:dyDescent="0.3">
      <c r="G591" t="str">
        <f t="shared" si="27"/>
        <v/>
      </c>
      <c r="H591" t="str">
        <f t="shared" si="28"/>
        <v/>
      </c>
      <c r="I591" t="e">
        <f t="shared" si="29"/>
        <v>#N/A</v>
      </c>
    </row>
    <row r="592" spans="7:9" x14ac:dyDescent="0.3">
      <c r="G592" t="str">
        <f t="shared" si="27"/>
        <v/>
      </c>
      <c r="H592" t="str">
        <f t="shared" si="28"/>
        <v/>
      </c>
      <c r="I592" t="e">
        <f t="shared" si="29"/>
        <v>#N/A</v>
      </c>
    </row>
    <row r="593" spans="7:9" x14ac:dyDescent="0.3">
      <c r="G593" t="str">
        <f t="shared" si="27"/>
        <v/>
      </c>
      <c r="H593" t="str">
        <f t="shared" si="28"/>
        <v/>
      </c>
      <c r="I593" t="e">
        <f t="shared" si="29"/>
        <v>#N/A</v>
      </c>
    </row>
    <row r="594" spans="7:9" x14ac:dyDescent="0.3">
      <c r="G594" t="str">
        <f t="shared" si="27"/>
        <v/>
      </c>
      <c r="H594" t="str">
        <f t="shared" si="28"/>
        <v/>
      </c>
      <c r="I594" t="e">
        <f t="shared" si="29"/>
        <v>#N/A</v>
      </c>
    </row>
    <row r="595" spans="7:9" x14ac:dyDescent="0.3">
      <c r="G595" t="str">
        <f t="shared" si="27"/>
        <v/>
      </c>
      <c r="H595" t="str">
        <f t="shared" si="28"/>
        <v/>
      </c>
      <c r="I595" t="e">
        <f t="shared" si="29"/>
        <v>#N/A</v>
      </c>
    </row>
    <row r="596" spans="7:9" x14ac:dyDescent="0.3">
      <c r="G596" t="str">
        <f t="shared" si="27"/>
        <v/>
      </c>
      <c r="H596" t="str">
        <f t="shared" si="28"/>
        <v/>
      </c>
      <c r="I596" t="e">
        <f t="shared" si="29"/>
        <v>#N/A</v>
      </c>
    </row>
    <row r="597" spans="7:9" x14ac:dyDescent="0.3">
      <c r="G597" t="str">
        <f t="shared" si="27"/>
        <v/>
      </c>
      <c r="H597" t="str">
        <f t="shared" si="28"/>
        <v/>
      </c>
      <c r="I597" t="e">
        <f t="shared" si="29"/>
        <v>#N/A</v>
      </c>
    </row>
    <row r="598" spans="7:9" x14ac:dyDescent="0.3">
      <c r="G598" t="str">
        <f t="shared" si="27"/>
        <v/>
      </c>
      <c r="H598" t="str">
        <f t="shared" si="28"/>
        <v/>
      </c>
      <c r="I598" t="e">
        <f t="shared" si="29"/>
        <v>#N/A</v>
      </c>
    </row>
    <row r="599" spans="7:9" x14ac:dyDescent="0.3">
      <c r="G599" t="str">
        <f t="shared" si="27"/>
        <v/>
      </c>
      <c r="H599" t="str">
        <f t="shared" si="28"/>
        <v/>
      </c>
      <c r="I599" t="e">
        <f t="shared" si="29"/>
        <v>#N/A</v>
      </c>
    </row>
    <row r="600" spans="7:9" x14ac:dyDescent="0.3">
      <c r="G600" t="str">
        <f t="shared" si="27"/>
        <v/>
      </c>
      <c r="H600" t="str">
        <f t="shared" si="28"/>
        <v/>
      </c>
      <c r="I600" t="e">
        <f t="shared" si="29"/>
        <v>#N/A</v>
      </c>
    </row>
    <row r="601" spans="7:9" x14ac:dyDescent="0.3">
      <c r="G601" t="str">
        <f t="shared" si="27"/>
        <v/>
      </c>
      <c r="H601" t="str">
        <f t="shared" si="28"/>
        <v/>
      </c>
      <c r="I601" t="e">
        <f t="shared" si="29"/>
        <v>#N/A</v>
      </c>
    </row>
    <row r="602" spans="7:9" x14ac:dyDescent="0.3">
      <c r="G602" t="str">
        <f t="shared" si="27"/>
        <v/>
      </c>
      <c r="H602" t="str">
        <f t="shared" si="28"/>
        <v/>
      </c>
      <c r="I602" t="e">
        <f t="shared" si="29"/>
        <v>#N/A</v>
      </c>
    </row>
    <row r="603" spans="7:9" x14ac:dyDescent="0.3">
      <c r="G603" t="str">
        <f t="shared" si="27"/>
        <v/>
      </c>
      <c r="H603" t="str">
        <f t="shared" si="28"/>
        <v/>
      </c>
      <c r="I603" t="e">
        <f t="shared" si="29"/>
        <v>#N/A</v>
      </c>
    </row>
    <row r="604" spans="7:9" x14ac:dyDescent="0.3">
      <c r="G604" t="str">
        <f t="shared" si="27"/>
        <v/>
      </c>
      <c r="H604" t="str">
        <f t="shared" si="28"/>
        <v/>
      </c>
      <c r="I604" t="e">
        <f t="shared" si="29"/>
        <v>#N/A</v>
      </c>
    </row>
    <row r="605" spans="7:9" x14ac:dyDescent="0.3">
      <c r="G605" t="str">
        <f t="shared" si="27"/>
        <v/>
      </c>
      <c r="H605" t="str">
        <f t="shared" si="28"/>
        <v/>
      </c>
      <c r="I605" t="e">
        <f t="shared" si="29"/>
        <v>#N/A</v>
      </c>
    </row>
    <row r="606" spans="7:9" x14ac:dyDescent="0.3">
      <c r="G606" t="str">
        <f t="shared" si="27"/>
        <v/>
      </c>
      <c r="H606" t="str">
        <f t="shared" si="28"/>
        <v/>
      </c>
      <c r="I606" t="e">
        <f t="shared" si="29"/>
        <v>#N/A</v>
      </c>
    </row>
    <row r="607" spans="7:9" x14ac:dyDescent="0.3">
      <c r="G607" t="str">
        <f t="shared" si="27"/>
        <v/>
      </c>
      <c r="H607" t="str">
        <f t="shared" si="28"/>
        <v/>
      </c>
      <c r="I607" t="e">
        <f t="shared" si="29"/>
        <v>#N/A</v>
      </c>
    </row>
    <row r="608" spans="7:9" x14ac:dyDescent="0.3">
      <c r="G608" t="str">
        <f t="shared" si="27"/>
        <v/>
      </c>
      <c r="H608" t="str">
        <f t="shared" si="28"/>
        <v/>
      </c>
      <c r="I608" t="e">
        <f t="shared" si="29"/>
        <v>#N/A</v>
      </c>
    </row>
    <row r="609" spans="7:9" x14ac:dyDescent="0.3">
      <c r="G609" t="str">
        <f t="shared" si="27"/>
        <v/>
      </c>
      <c r="H609" t="str">
        <f t="shared" si="28"/>
        <v/>
      </c>
      <c r="I609" t="e">
        <f t="shared" si="29"/>
        <v>#N/A</v>
      </c>
    </row>
    <row r="610" spans="7:9" x14ac:dyDescent="0.3">
      <c r="G610" t="str">
        <f t="shared" si="27"/>
        <v/>
      </c>
      <c r="H610" t="str">
        <f t="shared" si="28"/>
        <v/>
      </c>
      <c r="I610" t="e">
        <f t="shared" si="29"/>
        <v>#N/A</v>
      </c>
    </row>
    <row r="611" spans="7:9" x14ac:dyDescent="0.3">
      <c r="G611" t="str">
        <f t="shared" si="27"/>
        <v/>
      </c>
      <c r="H611" t="str">
        <f t="shared" si="28"/>
        <v/>
      </c>
      <c r="I611" t="e">
        <f t="shared" si="29"/>
        <v>#N/A</v>
      </c>
    </row>
    <row r="612" spans="7:9" x14ac:dyDescent="0.3">
      <c r="G612" t="str">
        <f t="shared" si="27"/>
        <v/>
      </c>
      <c r="H612" t="str">
        <f t="shared" si="28"/>
        <v/>
      </c>
      <c r="I612" t="e">
        <f t="shared" si="29"/>
        <v>#N/A</v>
      </c>
    </row>
    <row r="613" spans="7:9" x14ac:dyDescent="0.3">
      <c r="G613" t="str">
        <f t="shared" si="27"/>
        <v/>
      </c>
      <c r="H613" t="str">
        <f t="shared" si="28"/>
        <v/>
      </c>
      <c r="I613" t="e">
        <f t="shared" si="29"/>
        <v>#N/A</v>
      </c>
    </row>
    <row r="614" spans="7:9" x14ac:dyDescent="0.3">
      <c r="G614" t="str">
        <f t="shared" si="27"/>
        <v/>
      </c>
      <c r="H614" t="str">
        <f t="shared" si="28"/>
        <v/>
      </c>
      <c r="I614" t="e">
        <f t="shared" si="29"/>
        <v>#N/A</v>
      </c>
    </row>
    <row r="615" spans="7:9" x14ac:dyDescent="0.3">
      <c r="G615" t="str">
        <f t="shared" si="27"/>
        <v/>
      </c>
      <c r="H615" t="str">
        <f t="shared" si="28"/>
        <v/>
      </c>
      <c r="I615" t="e">
        <f t="shared" si="29"/>
        <v>#N/A</v>
      </c>
    </row>
    <row r="616" spans="7:9" x14ac:dyDescent="0.3">
      <c r="G616" t="str">
        <f t="shared" si="27"/>
        <v/>
      </c>
      <c r="H616" t="str">
        <f t="shared" si="28"/>
        <v/>
      </c>
      <c r="I616" t="e">
        <f t="shared" si="29"/>
        <v>#N/A</v>
      </c>
    </row>
    <row r="617" spans="7:9" x14ac:dyDescent="0.3">
      <c r="G617" t="str">
        <f t="shared" si="27"/>
        <v/>
      </c>
      <c r="H617" t="str">
        <f t="shared" si="28"/>
        <v/>
      </c>
      <c r="I617" t="e">
        <f t="shared" si="29"/>
        <v>#N/A</v>
      </c>
    </row>
    <row r="618" spans="7:9" x14ac:dyDescent="0.3">
      <c r="G618" t="str">
        <f t="shared" si="27"/>
        <v/>
      </c>
      <c r="H618" t="str">
        <f t="shared" si="28"/>
        <v/>
      </c>
      <c r="I618" t="e">
        <f t="shared" si="29"/>
        <v>#N/A</v>
      </c>
    </row>
    <row r="619" spans="7:9" x14ac:dyDescent="0.3">
      <c r="G619" t="str">
        <f t="shared" si="27"/>
        <v/>
      </c>
      <c r="H619" t="str">
        <f t="shared" si="28"/>
        <v/>
      </c>
      <c r="I619" t="e">
        <f t="shared" si="29"/>
        <v>#N/A</v>
      </c>
    </row>
    <row r="620" spans="7:9" x14ac:dyDescent="0.3">
      <c r="G620" t="str">
        <f t="shared" si="27"/>
        <v/>
      </c>
      <c r="H620" t="str">
        <f t="shared" si="28"/>
        <v/>
      </c>
      <c r="I620" t="e">
        <f t="shared" si="29"/>
        <v>#N/A</v>
      </c>
    </row>
    <row r="621" spans="7:9" x14ac:dyDescent="0.3">
      <c r="G621" t="str">
        <f t="shared" si="27"/>
        <v/>
      </c>
      <c r="H621" t="str">
        <f t="shared" si="28"/>
        <v/>
      </c>
      <c r="I621" t="e">
        <f t="shared" si="29"/>
        <v>#N/A</v>
      </c>
    </row>
    <row r="622" spans="7:9" x14ac:dyDescent="0.3">
      <c r="G622" t="str">
        <f t="shared" si="27"/>
        <v/>
      </c>
      <c r="H622" t="str">
        <f t="shared" si="28"/>
        <v/>
      </c>
      <c r="I622" t="e">
        <f t="shared" si="29"/>
        <v>#N/A</v>
      </c>
    </row>
    <row r="623" spans="7:9" x14ac:dyDescent="0.3">
      <c r="G623" t="str">
        <f t="shared" si="27"/>
        <v/>
      </c>
      <c r="H623" t="str">
        <f t="shared" si="28"/>
        <v/>
      </c>
      <c r="I623" t="e">
        <f t="shared" si="29"/>
        <v>#N/A</v>
      </c>
    </row>
    <row r="624" spans="7:9" x14ac:dyDescent="0.3">
      <c r="G624" t="str">
        <f t="shared" si="27"/>
        <v/>
      </c>
      <c r="H624" t="str">
        <f t="shared" si="28"/>
        <v/>
      </c>
      <c r="I624" t="e">
        <f t="shared" si="29"/>
        <v>#N/A</v>
      </c>
    </row>
    <row r="625" spans="7:9" x14ac:dyDescent="0.3">
      <c r="G625" t="str">
        <f t="shared" si="27"/>
        <v/>
      </c>
      <c r="H625" t="str">
        <f t="shared" si="28"/>
        <v/>
      </c>
      <c r="I625" t="e">
        <f t="shared" si="29"/>
        <v>#N/A</v>
      </c>
    </row>
    <row r="626" spans="7:9" x14ac:dyDescent="0.3">
      <c r="G626" t="str">
        <f t="shared" si="27"/>
        <v/>
      </c>
      <c r="H626" t="str">
        <f t="shared" si="28"/>
        <v/>
      </c>
      <c r="I626" t="e">
        <f t="shared" si="29"/>
        <v>#N/A</v>
      </c>
    </row>
    <row r="627" spans="7:9" x14ac:dyDescent="0.3">
      <c r="G627" t="str">
        <f t="shared" si="27"/>
        <v/>
      </c>
      <c r="H627" t="str">
        <f t="shared" si="28"/>
        <v/>
      </c>
      <c r="I627" t="e">
        <f t="shared" si="29"/>
        <v>#N/A</v>
      </c>
    </row>
    <row r="628" spans="7:9" x14ac:dyDescent="0.3">
      <c r="G628" t="str">
        <f t="shared" si="27"/>
        <v/>
      </c>
      <c r="H628" t="str">
        <f t="shared" si="28"/>
        <v/>
      </c>
      <c r="I628" t="e">
        <f t="shared" si="29"/>
        <v>#N/A</v>
      </c>
    </row>
    <row r="629" spans="7:9" x14ac:dyDescent="0.3">
      <c r="G629" t="str">
        <f t="shared" si="27"/>
        <v/>
      </c>
      <c r="H629" t="str">
        <f t="shared" si="28"/>
        <v/>
      </c>
      <c r="I629" t="e">
        <f t="shared" si="29"/>
        <v>#N/A</v>
      </c>
    </row>
    <row r="630" spans="7:9" x14ac:dyDescent="0.3">
      <c r="G630" t="str">
        <f t="shared" si="27"/>
        <v/>
      </c>
      <c r="H630" t="str">
        <f t="shared" si="28"/>
        <v/>
      </c>
      <c r="I630" t="e">
        <f t="shared" si="29"/>
        <v>#N/A</v>
      </c>
    </row>
    <row r="631" spans="7:9" x14ac:dyDescent="0.3">
      <c r="G631" t="str">
        <f t="shared" si="27"/>
        <v/>
      </c>
      <c r="H631" t="str">
        <f t="shared" si="28"/>
        <v/>
      </c>
      <c r="I631" t="e">
        <f t="shared" si="29"/>
        <v>#N/A</v>
      </c>
    </row>
    <row r="632" spans="7:9" x14ac:dyDescent="0.3">
      <c r="G632" t="str">
        <f t="shared" si="27"/>
        <v/>
      </c>
      <c r="H632" t="str">
        <f t="shared" si="28"/>
        <v/>
      </c>
      <c r="I632" t="e">
        <f t="shared" si="29"/>
        <v>#N/A</v>
      </c>
    </row>
    <row r="633" spans="7:9" x14ac:dyDescent="0.3">
      <c r="G633" t="str">
        <f t="shared" si="27"/>
        <v/>
      </c>
      <c r="H633" t="str">
        <f t="shared" si="28"/>
        <v/>
      </c>
      <c r="I633" t="e">
        <f t="shared" si="29"/>
        <v>#N/A</v>
      </c>
    </row>
  </sheetData>
  <autoFilter ref="A1:M46" xr:uid="{83152D57-10B2-49A8-BFD5-2B24BDACE4C5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/>
  <dimension ref="A2:CG25"/>
  <sheetViews>
    <sheetView tabSelected="1" zoomScale="70" zoomScaleNormal="70" workbookViewId="0">
      <selection activeCell="L27" sqref="L27"/>
    </sheetView>
  </sheetViews>
  <sheetFormatPr defaultRowHeight="14.4" x14ac:dyDescent="0.3"/>
  <cols>
    <col min="1" max="1" width="11.21875" bestFit="1" customWidth="1"/>
    <col min="2" max="2" width="24.5546875" bestFit="1" customWidth="1"/>
    <col min="3" max="3" width="20.44140625" bestFit="1" customWidth="1"/>
    <col min="4" max="4" width="15.33203125" bestFit="1" customWidth="1"/>
    <col min="5" max="5" width="10" bestFit="1" customWidth="1"/>
    <col min="6" max="6" width="14.5546875" bestFit="1" customWidth="1"/>
    <col min="7" max="7" width="11.109375" bestFit="1" customWidth="1"/>
    <col min="8" max="8" width="14.44140625" bestFit="1" customWidth="1"/>
    <col min="9" max="10" width="45.5546875" bestFit="1" customWidth="1"/>
    <col min="11" max="11" width="26.5546875" bestFit="1" customWidth="1"/>
    <col min="12" max="12" width="20.44140625" style="52" bestFit="1" customWidth="1"/>
    <col min="13" max="13" width="11.21875" style="52" bestFit="1" customWidth="1"/>
    <col min="14" max="14" width="6.109375" style="52" bestFit="1" customWidth="1"/>
    <col min="15" max="15" width="13" bestFit="1" customWidth="1"/>
    <col min="16" max="16" width="7.88671875" style="52" bestFit="1" customWidth="1"/>
    <col min="17" max="17" width="10.77734375" style="55" bestFit="1" customWidth="1"/>
    <col min="18" max="18" width="4.44140625" style="62" bestFit="1" customWidth="1"/>
    <col min="19" max="19" width="48.77734375" bestFit="1" customWidth="1"/>
    <col min="20" max="20" width="10" bestFit="1" customWidth="1"/>
    <col min="21" max="21" width="11.77734375" bestFit="1" customWidth="1"/>
    <col min="22" max="22" width="11.109375" bestFit="1" customWidth="1"/>
    <col min="23" max="23" width="14.44140625" bestFit="1" customWidth="1"/>
    <col min="24" max="25" width="59.6640625" bestFit="1" customWidth="1"/>
    <col min="26" max="26" width="48.77734375" bestFit="1" customWidth="1"/>
    <col min="27" max="27" width="11.21875" bestFit="1" customWidth="1"/>
    <col min="28" max="28" width="5.5546875" bestFit="1" customWidth="1"/>
    <col min="29" max="29" width="13" bestFit="1" customWidth="1"/>
    <col min="30" max="30" width="7.88671875" bestFit="1" customWidth="1"/>
    <col min="31" max="31" width="10.77734375" bestFit="1" customWidth="1"/>
    <col min="32" max="32" width="4.44140625" style="62" bestFit="1" customWidth="1"/>
    <col min="33" max="33" width="42.21875" bestFit="1" customWidth="1"/>
    <col min="34" max="34" width="11.6640625" bestFit="1" customWidth="1"/>
    <col min="35" max="35" width="11.77734375" bestFit="1" customWidth="1"/>
    <col min="36" max="36" width="12.6640625" bestFit="1" customWidth="1"/>
    <col min="37" max="37" width="14.44140625" bestFit="1" customWidth="1"/>
    <col min="38" max="39" width="53" bestFit="1" customWidth="1"/>
    <col min="40" max="40" width="42.21875" bestFit="1" customWidth="1"/>
    <col min="41" max="41" width="11.21875" bestFit="1" customWidth="1"/>
    <col min="42" max="42" width="5.5546875" bestFit="1" customWidth="1"/>
    <col min="43" max="43" width="13" bestFit="1" customWidth="1"/>
    <col min="44" max="44" width="7.88671875" bestFit="1" customWidth="1"/>
    <col min="45" max="45" width="12.109375" bestFit="1" customWidth="1"/>
    <col min="46" max="46" width="4.44140625" style="62" bestFit="1" customWidth="1"/>
    <col min="47" max="47" width="41.33203125" bestFit="1" customWidth="1"/>
    <col min="48" max="48" width="9.88671875" bestFit="1" customWidth="1"/>
    <col min="49" max="49" width="11.77734375" bestFit="1" customWidth="1"/>
    <col min="50" max="50" width="10.77734375" bestFit="1" customWidth="1"/>
    <col min="51" max="51" width="14.44140625" bestFit="1" customWidth="1"/>
    <col min="52" max="53" width="53.44140625" bestFit="1" customWidth="1"/>
    <col min="54" max="54" width="41.33203125" bestFit="1" customWidth="1"/>
    <col min="55" max="55" width="11.21875" bestFit="1" customWidth="1"/>
    <col min="56" max="56" width="6.109375" bestFit="1" customWidth="1"/>
    <col min="57" max="57" width="13" bestFit="1" customWidth="1"/>
    <col min="58" max="58" width="7.88671875" bestFit="1" customWidth="1"/>
    <col min="59" max="59" width="10.77734375" bestFit="1" customWidth="1"/>
    <col min="60" max="60" width="4.44140625" style="62" bestFit="1" customWidth="1"/>
    <col min="61" max="61" width="32.88671875" bestFit="1" customWidth="1"/>
    <col min="62" max="62" width="32.88671875" customWidth="1"/>
    <col min="63" max="63" width="9.88671875" bestFit="1" customWidth="1"/>
    <col min="64" max="64" width="12.109375" bestFit="1" customWidth="1"/>
    <col min="65" max="65" width="10.77734375" bestFit="1" customWidth="1"/>
    <col min="66" max="66" width="11.21875" bestFit="1" customWidth="1"/>
    <col min="67" max="67" width="41.21875" bestFit="1" customWidth="1"/>
    <col min="68" max="68" width="43.33203125" bestFit="1" customWidth="1"/>
    <col min="69" max="69" width="20.33203125" customWidth="1"/>
    <col min="70" max="70" width="15.21875" bestFit="1" customWidth="1"/>
    <col min="71" max="71" width="11.109375" customWidth="1"/>
    <col min="72" max="72" width="7.88671875" bestFit="1" customWidth="1"/>
    <col min="73" max="73" width="11.6640625" bestFit="1" customWidth="1"/>
    <col min="74" max="74" width="8.33203125" bestFit="1" customWidth="1"/>
    <col min="76" max="76" width="4.44140625" style="62" bestFit="1" customWidth="1"/>
    <col min="77" max="77" width="15.33203125" bestFit="1" customWidth="1"/>
    <col min="79" max="79" width="20.5546875" bestFit="1" customWidth="1"/>
    <col min="80" max="82" width="13.6640625" customWidth="1"/>
    <col min="85" max="85" width="5.77734375" style="62" bestFit="1" customWidth="1"/>
  </cols>
  <sheetData>
    <row r="2" spans="1:85" s="63" customFormat="1" x14ac:dyDescent="0.3">
      <c r="B2" s="68" t="s">
        <v>1234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>
        <v>8</v>
      </c>
      <c r="N2" s="68"/>
      <c r="O2" s="68">
        <v>625826</v>
      </c>
      <c r="P2" s="68"/>
      <c r="Q2" s="75">
        <v>10397.870000000001</v>
      </c>
      <c r="R2" s="64">
        <v>7</v>
      </c>
      <c r="S2" s="68" t="s">
        <v>1248</v>
      </c>
      <c r="T2" s="75">
        <v>24413.919999999998</v>
      </c>
      <c r="U2" s="68"/>
      <c r="V2" s="68"/>
      <c r="W2" s="68"/>
      <c r="X2" s="68"/>
      <c r="Y2" s="68"/>
      <c r="Z2" s="68"/>
      <c r="AA2" s="68"/>
      <c r="AB2" s="68"/>
      <c r="AC2" s="68"/>
      <c r="AD2" s="68"/>
      <c r="AE2" s="68">
        <v>11744.619999999999</v>
      </c>
      <c r="AF2" s="64">
        <v>14</v>
      </c>
      <c r="AG2" s="68" t="s">
        <v>1252</v>
      </c>
      <c r="AH2" s="68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>
        <v>1239.1799999999998</v>
      </c>
      <c r="AT2" s="64">
        <v>17</v>
      </c>
      <c r="AU2" s="68" t="s">
        <v>1258</v>
      </c>
      <c r="AV2" s="68"/>
      <c r="AW2" s="68"/>
      <c r="AX2" s="68"/>
      <c r="AY2" s="68"/>
      <c r="AZ2" s="68"/>
      <c r="BA2" s="68"/>
      <c r="BB2" s="68"/>
      <c r="BC2" s="68"/>
      <c r="BD2" s="68"/>
      <c r="BE2" s="68"/>
      <c r="BF2" s="68"/>
      <c r="BG2" s="68">
        <v>11430.12</v>
      </c>
      <c r="BH2" s="64">
        <v>21</v>
      </c>
      <c r="BI2" s="68" t="s">
        <v>1276</v>
      </c>
      <c r="BJ2" s="68"/>
      <c r="BK2" s="68"/>
      <c r="BL2" s="68"/>
      <c r="BM2" s="68"/>
      <c r="BN2" s="68"/>
      <c r="BO2" s="68"/>
      <c r="BP2" s="68"/>
      <c r="BQ2" s="68"/>
      <c r="BR2" s="68"/>
      <c r="BS2" s="68">
        <v>5</v>
      </c>
      <c r="BT2" s="68"/>
      <c r="BU2" s="68">
        <v>1194754</v>
      </c>
      <c r="BV2" s="68"/>
      <c r="BW2" s="76">
        <v>19968.170000000002</v>
      </c>
      <c r="BX2" s="64">
        <v>9</v>
      </c>
      <c r="BY2" s="68" t="s">
        <v>1226</v>
      </c>
      <c r="BZ2" s="68"/>
      <c r="CA2" s="68"/>
      <c r="CB2" s="68"/>
      <c r="CC2" s="68"/>
      <c r="CD2" s="68"/>
      <c r="CE2" s="68">
        <v>8</v>
      </c>
      <c r="CF2" s="75">
        <v>16.989999999999998</v>
      </c>
      <c r="CG2" s="64">
        <v>24</v>
      </c>
    </row>
    <row r="3" spans="1:85" x14ac:dyDescent="0.3">
      <c r="A3" s="10" t="s">
        <v>2</v>
      </c>
      <c r="B3" s="53" t="s">
        <v>105</v>
      </c>
      <c r="C3" s="53" t="s">
        <v>110</v>
      </c>
      <c r="D3" s="53" t="s">
        <v>1288</v>
      </c>
      <c r="E3" s="53" t="s">
        <v>1230</v>
      </c>
      <c r="F3" s="53" t="s">
        <v>1232</v>
      </c>
      <c r="G3" s="53" t="s">
        <v>1231</v>
      </c>
      <c r="H3" s="53" t="s">
        <v>1233</v>
      </c>
      <c r="I3" s="49" t="s">
        <v>1240</v>
      </c>
      <c r="J3" s="49" t="s">
        <v>1238</v>
      </c>
      <c r="K3" s="49" t="s">
        <v>1303</v>
      </c>
      <c r="L3" s="49" t="s">
        <v>110</v>
      </c>
      <c r="M3" s="51" t="s">
        <v>1237</v>
      </c>
      <c r="N3" s="51" t="s">
        <v>661</v>
      </c>
      <c r="O3" s="51" t="s">
        <v>1241</v>
      </c>
      <c r="P3" s="51" t="s">
        <v>662</v>
      </c>
      <c r="Q3" s="56" t="s">
        <v>1239</v>
      </c>
      <c r="R3" s="60">
        <v>0</v>
      </c>
      <c r="S3" s="53" t="s">
        <v>1246</v>
      </c>
      <c r="T3" s="53" t="s">
        <v>1230</v>
      </c>
      <c r="U3" s="53" t="s">
        <v>1241</v>
      </c>
      <c r="V3" s="53" t="s">
        <v>1231</v>
      </c>
      <c r="W3" s="53" t="s">
        <v>1233</v>
      </c>
      <c r="X3" s="49" t="s">
        <v>1240</v>
      </c>
      <c r="Y3" s="49" t="s">
        <v>1238</v>
      </c>
      <c r="Z3" s="53" t="s">
        <v>1304</v>
      </c>
      <c r="AA3" s="51" t="s">
        <v>1237</v>
      </c>
      <c r="AB3" s="51" t="s">
        <v>661</v>
      </c>
      <c r="AC3" s="51" t="s">
        <v>1241</v>
      </c>
      <c r="AD3" s="51" t="s">
        <v>662</v>
      </c>
      <c r="AE3" s="56" t="s">
        <v>1239</v>
      </c>
      <c r="AF3" s="60">
        <v>9</v>
      </c>
      <c r="AG3" s="53" t="s">
        <v>1246</v>
      </c>
      <c r="AH3" s="53" t="s">
        <v>1253</v>
      </c>
      <c r="AI3" s="53" t="s">
        <v>1241</v>
      </c>
      <c r="AJ3" s="53" t="s">
        <v>1254</v>
      </c>
      <c r="AK3" s="53" t="s">
        <v>1255</v>
      </c>
      <c r="AL3" s="49" t="s">
        <v>1240</v>
      </c>
      <c r="AM3" s="49" t="s">
        <v>1238</v>
      </c>
      <c r="AN3" s="53" t="s">
        <v>1246</v>
      </c>
      <c r="AO3" s="51" t="s">
        <v>1237</v>
      </c>
      <c r="AP3" s="51" t="s">
        <v>661</v>
      </c>
      <c r="AQ3" s="51" t="s">
        <v>1241</v>
      </c>
      <c r="AR3" s="51" t="s">
        <v>662</v>
      </c>
      <c r="AS3" s="56" t="s">
        <v>1239</v>
      </c>
      <c r="AT3" s="60">
        <v>14</v>
      </c>
      <c r="AU3" s="53" t="s">
        <v>1246</v>
      </c>
      <c r="AV3" s="53" t="s">
        <v>1261</v>
      </c>
      <c r="AW3" s="53" t="s">
        <v>1241</v>
      </c>
      <c r="AX3" s="53" t="s">
        <v>1259</v>
      </c>
      <c r="AY3" s="53" t="s">
        <v>1260</v>
      </c>
      <c r="AZ3" s="49" t="s">
        <v>1240</v>
      </c>
      <c r="BA3" s="49" t="s">
        <v>1238</v>
      </c>
      <c r="BB3" s="53" t="s">
        <v>1246</v>
      </c>
      <c r="BC3" s="51" t="s">
        <v>1237</v>
      </c>
      <c r="BD3" s="51" t="s">
        <v>661</v>
      </c>
      <c r="BE3" s="51" t="s">
        <v>1241</v>
      </c>
      <c r="BF3" s="51" t="s">
        <v>662</v>
      </c>
      <c r="BG3" s="56" t="s">
        <v>1239</v>
      </c>
      <c r="BH3" s="60">
        <v>17</v>
      </c>
      <c r="BI3" s="53" t="s">
        <v>105</v>
      </c>
      <c r="BJ3" s="53" t="s">
        <v>1280</v>
      </c>
      <c r="BK3" s="53" t="s">
        <v>1277</v>
      </c>
      <c r="BL3" s="53" t="s">
        <v>1241</v>
      </c>
      <c r="BM3" s="53" t="s">
        <v>1278</v>
      </c>
      <c r="BN3" s="53" t="s">
        <v>1279</v>
      </c>
      <c r="BO3" s="53" t="s">
        <v>1240</v>
      </c>
      <c r="BP3" s="49" t="s">
        <v>1238</v>
      </c>
      <c r="BQ3" s="49" t="s">
        <v>1305</v>
      </c>
      <c r="BR3" s="49" t="s">
        <v>110</v>
      </c>
      <c r="BS3" s="49" t="s">
        <v>1237</v>
      </c>
      <c r="BT3" s="51" t="s">
        <v>661</v>
      </c>
      <c r="BU3" s="51" t="s">
        <v>1241</v>
      </c>
      <c r="BV3" s="51" t="s">
        <v>662</v>
      </c>
      <c r="BW3" s="51" t="s">
        <v>1239</v>
      </c>
      <c r="BX3" s="60">
        <v>7</v>
      </c>
      <c r="BY3" s="53" t="s">
        <v>105</v>
      </c>
      <c r="BZ3" s="53" t="s">
        <v>1277</v>
      </c>
      <c r="CA3" s="53" t="s">
        <v>1240</v>
      </c>
      <c r="CB3" s="49" t="s">
        <v>1238</v>
      </c>
      <c r="CC3" s="49" t="s">
        <v>1226</v>
      </c>
      <c r="CD3" s="51" t="s">
        <v>661</v>
      </c>
      <c r="CE3" s="49" t="s">
        <v>1237</v>
      </c>
      <c r="CF3" s="57" t="s">
        <v>1285</v>
      </c>
      <c r="CG3" s="60">
        <v>21</v>
      </c>
    </row>
    <row r="4" spans="1:85" x14ac:dyDescent="0.3">
      <c r="A4">
        <v>10001</v>
      </c>
      <c r="B4" t="s">
        <v>24</v>
      </c>
      <c r="C4" t="s">
        <v>124</v>
      </c>
      <c r="D4">
        <v>1</v>
      </c>
      <c r="E4">
        <v>1.5</v>
      </c>
      <c r="F4">
        <v>-454</v>
      </c>
      <c r="G4" s="42">
        <v>-1.567E-2</v>
      </c>
      <c r="H4">
        <v>8.6141800000000011</v>
      </c>
      <c r="I4" t="s">
        <v>1236</v>
      </c>
      <c r="P4" s="54"/>
      <c r="R4" s="61"/>
      <c r="S4" t="s">
        <v>1146</v>
      </c>
      <c r="T4">
        <v>1.7</v>
      </c>
      <c r="U4">
        <v>-454</v>
      </c>
      <c r="V4" s="42">
        <v>-1.77E-2</v>
      </c>
      <c r="W4">
        <v>9.7357999999999993</v>
      </c>
      <c r="X4" t="s">
        <v>1249</v>
      </c>
      <c r="Y4" t="s">
        <v>1249</v>
      </c>
      <c r="Z4" t="s">
        <v>1146</v>
      </c>
      <c r="AA4">
        <v>1</v>
      </c>
      <c r="AB4">
        <v>1.7</v>
      </c>
      <c r="AC4">
        <v>-454</v>
      </c>
      <c r="AD4" s="42">
        <v>-1.77E-2</v>
      </c>
      <c r="AE4">
        <v>9.74</v>
      </c>
      <c r="AF4" s="61">
        <v>10</v>
      </c>
      <c r="AL4" t="s">
        <v>1306</v>
      </c>
      <c r="AM4" t="s">
        <v>1306</v>
      </c>
      <c r="AQ4">
        <v>0</v>
      </c>
      <c r="AS4">
        <v>0</v>
      </c>
      <c r="AT4" s="61"/>
      <c r="AU4" t="s">
        <v>1179</v>
      </c>
      <c r="AV4">
        <v>1.77</v>
      </c>
      <c r="AW4">
        <v>-454</v>
      </c>
      <c r="AX4" s="42">
        <v>-1.77E-2</v>
      </c>
      <c r="AY4">
        <v>9.5358000000000001</v>
      </c>
      <c r="AZ4" t="s">
        <v>1262</v>
      </c>
      <c r="BA4" t="s">
        <v>1262</v>
      </c>
      <c r="BB4" t="s">
        <v>1179</v>
      </c>
      <c r="BC4">
        <v>1</v>
      </c>
      <c r="BD4">
        <v>1.77</v>
      </c>
      <c r="BE4">
        <v>-454</v>
      </c>
      <c r="BF4" s="42">
        <v>-1.77E-2</v>
      </c>
      <c r="BG4">
        <v>9.5399999999999991</v>
      </c>
      <c r="BH4" s="61">
        <v>18</v>
      </c>
      <c r="BO4" t="s">
        <v>1306</v>
      </c>
      <c r="BP4" t="s">
        <v>1306</v>
      </c>
      <c r="BU4">
        <v>0</v>
      </c>
      <c r="BW4">
        <v>0</v>
      </c>
      <c r="BX4" s="61"/>
      <c r="CA4" t="s">
        <v>1306</v>
      </c>
      <c r="CB4" t="s">
        <v>1306</v>
      </c>
      <c r="CF4">
        <v>0</v>
      </c>
      <c r="CG4" s="61"/>
    </row>
    <row r="5" spans="1:85" x14ac:dyDescent="0.3">
      <c r="A5">
        <v>110001</v>
      </c>
      <c r="D5">
        <v>2</v>
      </c>
      <c r="O5">
        <v>0</v>
      </c>
      <c r="Q5" s="55">
        <v>0</v>
      </c>
      <c r="R5" s="61"/>
      <c r="AC5">
        <v>0</v>
      </c>
      <c r="AE5">
        <v>0</v>
      </c>
      <c r="AF5" s="61"/>
      <c r="AQ5">
        <v>0</v>
      </c>
      <c r="AS5">
        <v>0</v>
      </c>
      <c r="AT5" s="61"/>
      <c r="BE5">
        <v>0</v>
      </c>
      <c r="BG5">
        <v>0</v>
      </c>
      <c r="BH5" s="61"/>
      <c r="BU5">
        <v>0</v>
      </c>
      <c r="BW5">
        <v>0</v>
      </c>
      <c r="BX5" s="61"/>
      <c r="BY5" t="s">
        <v>1188</v>
      </c>
      <c r="BZ5">
        <v>2.1230000000000002</v>
      </c>
      <c r="CA5" t="s">
        <v>1286</v>
      </c>
      <c r="CB5" t="s">
        <v>1286</v>
      </c>
      <c r="CC5" t="s">
        <v>1188</v>
      </c>
      <c r="CD5">
        <v>2.1230000000000002</v>
      </c>
      <c r="CE5">
        <v>5</v>
      </c>
      <c r="CF5">
        <v>10.62</v>
      </c>
      <c r="CG5" s="61">
        <v>22</v>
      </c>
    </row>
    <row r="6" spans="1:85" x14ac:dyDescent="0.3">
      <c r="A6">
        <v>1000973</v>
      </c>
      <c r="D6">
        <v>3</v>
      </c>
      <c r="J6" t="s">
        <v>1235</v>
      </c>
      <c r="K6" t="s">
        <v>1242</v>
      </c>
      <c r="L6" s="52" t="s">
        <v>122</v>
      </c>
      <c r="M6" s="52">
        <v>1</v>
      </c>
      <c r="N6" s="52">
        <v>1</v>
      </c>
      <c r="O6">
        <v>584</v>
      </c>
      <c r="P6" s="54">
        <v>1.567E-2</v>
      </c>
      <c r="Q6" s="55">
        <v>10.15</v>
      </c>
      <c r="R6" s="61">
        <v>2</v>
      </c>
      <c r="Y6" t="s">
        <v>1250</v>
      </c>
      <c r="Z6" t="s">
        <v>1102</v>
      </c>
      <c r="AA6">
        <v>2</v>
      </c>
      <c r="AB6">
        <v>1.6</v>
      </c>
      <c r="AC6">
        <v>586150</v>
      </c>
      <c r="AD6" s="42">
        <v>1.77E-2</v>
      </c>
      <c r="AE6">
        <v>10378.06</v>
      </c>
      <c r="AF6" s="61">
        <v>11</v>
      </c>
      <c r="AM6" t="s">
        <v>1257</v>
      </c>
      <c r="AN6" t="s">
        <v>1140</v>
      </c>
      <c r="AO6">
        <v>1</v>
      </c>
      <c r="AP6">
        <v>1.7</v>
      </c>
      <c r="AQ6">
        <v>-5814</v>
      </c>
      <c r="AR6" s="42">
        <v>-1.77E-2</v>
      </c>
      <c r="AS6">
        <v>104.41</v>
      </c>
      <c r="AT6" s="61">
        <v>15</v>
      </c>
      <c r="BA6" t="s">
        <v>1270</v>
      </c>
      <c r="BB6" t="s">
        <v>1166</v>
      </c>
      <c r="BC6">
        <v>2</v>
      </c>
      <c r="BD6">
        <v>1.66</v>
      </c>
      <c r="BE6">
        <v>586150</v>
      </c>
      <c r="BF6" s="42">
        <v>1.77E-2</v>
      </c>
      <c r="BG6">
        <v>10377.879999999999</v>
      </c>
      <c r="BH6" s="61">
        <v>19</v>
      </c>
      <c r="BI6" t="s">
        <v>36</v>
      </c>
      <c r="BJ6" t="s">
        <v>114</v>
      </c>
      <c r="BK6">
        <v>3.15</v>
      </c>
      <c r="BL6">
        <v>5882</v>
      </c>
      <c r="BM6" s="42">
        <v>1.67E-2</v>
      </c>
      <c r="BN6">
        <v>101.3794</v>
      </c>
      <c r="BO6" t="s">
        <v>1282</v>
      </c>
      <c r="BP6" t="s">
        <v>1282</v>
      </c>
      <c r="BQ6" t="s">
        <v>1283</v>
      </c>
      <c r="BR6" t="s">
        <v>114</v>
      </c>
      <c r="BS6">
        <v>3</v>
      </c>
      <c r="BT6">
        <v>3.15</v>
      </c>
      <c r="BU6">
        <v>1182990</v>
      </c>
      <c r="BV6" s="42">
        <v>1.67E-2</v>
      </c>
      <c r="BW6">
        <v>19765.38</v>
      </c>
      <c r="BX6" s="61">
        <v>8</v>
      </c>
      <c r="CF6">
        <v>0</v>
      </c>
      <c r="CG6" s="61"/>
    </row>
    <row r="7" spans="1:85" x14ac:dyDescent="0.3">
      <c r="A7">
        <v>1000974</v>
      </c>
      <c r="D7">
        <v>4</v>
      </c>
      <c r="J7" t="s">
        <v>1314</v>
      </c>
      <c r="K7" t="s">
        <v>1242</v>
      </c>
      <c r="L7" s="52" t="s">
        <v>126</v>
      </c>
      <c r="M7" s="52">
        <v>1</v>
      </c>
      <c r="N7" s="52">
        <v>2</v>
      </c>
      <c r="O7">
        <v>-584</v>
      </c>
      <c r="P7" s="54">
        <v>-1.567E-2</v>
      </c>
      <c r="Q7" s="55">
        <v>11.15</v>
      </c>
      <c r="R7" s="61">
        <v>3</v>
      </c>
      <c r="Y7" t="s">
        <v>1251</v>
      </c>
      <c r="Z7" t="s">
        <v>1142</v>
      </c>
      <c r="AA7">
        <v>3</v>
      </c>
      <c r="AB7">
        <v>1.7</v>
      </c>
      <c r="AC7">
        <v>-12212</v>
      </c>
      <c r="AD7" s="42">
        <v>-1.77E-2</v>
      </c>
      <c r="AE7">
        <v>221.25</v>
      </c>
      <c r="AF7" s="61">
        <v>12</v>
      </c>
      <c r="AM7" t="s">
        <v>1316</v>
      </c>
      <c r="AN7" t="s">
        <v>1150</v>
      </c>
      <c r="AO7">
        <v>1</v>
      </c>
      <c r="AP7">
        <v>1.7</v>
      </c>
      <c r="AQ7">
        <v>-5814</v>
      </c>
      <c r="AR7" s="42">
        <v>-1.77E-2</v>
      </c>
      <c r="AS7">
        <v>104.41</v>
      </c>
      <c r="AT7" s="61">
        <v>16</v>
      </c>
      <c r="BA7" t="s">
        <v>1275</v>
      </c>
      <c r="BB7" t="s">
        <v>1178</v>
      </c>
      <c r="BC7">
        <v>1</v>
      </c>
      <c r="BD7">
        <v>1.77</v>
      </c>
      <c r="BE7">
        <v>-584</v>
      </c>
      <c r="BF7" s="42">
        <v>-1.77E-2</v>
      </c>
      <c r="BG7">
        <v>12.34</v>
      </c>
      <c r="BH7" s="61">
        <v>20</v>
      </c>
      <c r="BI7" t="s">
        <v>37</v>
      </c>
      <c r="BJ7" t="s">
        <v>114</v>
      </c>
      <c r="BK7">
        <v>3.1669999999999998</v>
      </c>
      <c r="BL7">
        <v>5882</v>
      </c>
      <c r="BM7" s="42">
        <v>1.67E-2</v>
      </c>
      <c r="BN7">
        <v>101.3964</v>
      </c>
      <c r="BO7" t="s">
        <v>1281</v>
      </c>
      <c r="BP7" t="s">
        <v>1281</v>
      </c>
      <c r="BQ7" t="s">
        <v>1284</v>
      </c>
      <c r="BR7" t="s">
        <v>114</v>
      </c>
      <c r="BS7">
        <v>2</v>
      </c>
      <c r="BT7">
        <v>3.1669999999999998</v>
      </c>
      <c r="BU7">
        <v>11764</v>
      </c>
      <c r="BV7" s="42">
        <v>1.67E-2</v>
      </c>
      <c r="BW7">
        <v>202.79</v>
      </c>
      <c r="BX7" s="61">
        <v>9</v>
      </c>
      <c r="CB7" t="s">
        <v>1287</v>
      </c>
      <c r="CC7" t="s">
        <v>1190</v>
      </c>
      <c r="CD7">
        <v>2.1230000000000002</v>
      </c>
      <c r="CE7">
        <v>1</v>
      </c>
      <c r="CF7">
        <v>2.12</v>
      </c>
      <c r="CG7" s="61">
        <v>23</v>
      </c>
    </row>
    <row r="8" spans="1:85" x14ac:dyDescent="0.3">
      <c r="A8">
        <v>1000975</v>
      </c>
      <c r="D8">
        <v>5</v>
      </c>
      <c r="J8" t="s">
        <v>1236</v>
      </c>
      <c r="K8" t="s">
        <v>1242</v>
      </c>
      <c r="L8" s="52" t="s">
        <v>124</v>
      </c>
      <c r="M8" s="52">
        <v>3</v>
      </c>
      <c r="N8" s="52">
        <v>1.5</v>
      </c>
      <c r="O8">
        <v>-12082</v>
      </c>
      <c r="P8" s="54">
        <v>-1.567E-2</v>
      </c>
      <c r="Q8" s="55">
        <v>193.82</v>
      </c>
      <c r="R8" s="61">
        <v>4</v>
      </c>
      <c r="Y8" t="s">
        <v>1315</v>
      </c>
      <c r="Z8" t="s">
        <v>1152</v>
      </c>
      <c r="AA8">
        <v>1</v>
      </c>
      <c r="AB8">
        <v>1.7</v>
      </c>
      <c r="AC8">
        <v>-5814</v>
      </c>
      <c r="AD8" s="42">
        <v>-1.77E-2</v>
      </c>
      <c r="AE8">
        <v>104.61</v>
      </c>
      <c r="AF8" s="61">
        <v>13</v>
      </c>
      <c r="AM8" t="s">
        <v>1256</v>
      </c>
      <c r="AN8" t="s">
        <v>1090</v>
      </c>
      <c r="AO8">
        <v>1</v>
      </c>
      <c r="AP8">
        <v>1.6</v>
      </c>
      <c r="AQ8">
        <v>58156</v>
      </c>
      <c r="AR8" s="42">
        <v>1.77E-2</v>
      </c>
      <c r="AS8">
        <v>1030.3599999999999</v>
      </c>
      <c r="AT8" s="61">
        <v>17</v>
      </c>
      <c r="BA8" t="s">
        <v>1266</v>
      </c>
      <c r="BB8" t="s">
        <v>1163</v>
      </c>
      <c r="BC8">
        <v>1</v>
      </c>
      <c r="BD8">
        <v>1.66</v>
      </c>
      <c r="BE8">
        <v>58156</v>
      </c>
      <c r="BF8" s="42">
        <v>1.77E-2</v>
      </c>
      <c r="BG8">
        <v>1030.3599999999999</v>
      </c>
      <c r="BH8" s="61">
        <v>21</v>
      </c>
      <c r="BI8" t="s">
        <v>37</v>
      </c>
      <c r="BJ8" t="s">
        <v>114</v>
      </c>
      <c r="BK8">
        <v>3.1669999999999998</v>
      </c>
      <c r="BL8">
        <v>5882</v>
      </c>
      <c r="BM8" s="42">
        <v>1.67E-2</v>
      </c>
      <c r="BN8">
        <v>101.3964</v>
      </c>
      <c r="BO8" t="s">
        <v>1281</v>
      </c>
      <c r="BX8" s="61"/>
      <c r="CB8" t="s">
        <v>1308</v>
      </c>
      <c r="CC8" t="s">
        <v>1192</v>
      </c>
      <c r="CD8">
        <v>2.1230000000000002</v>
      </c>
      <c r="CE8">
        <v>2</v>
      </c>
      <c r="CF8">
        <v>4.25</v>
      </c>
      <c r="CG8" s="61">
        <v>24</v>
      </c>
    </row>
    <row r="9" spans="1:85" x14ac:dyDescent="0.3">
      <c r="A9">
        <v>11000975</v>
      </c>
      <c r="D9">
        <v>6</v>
      </c>
      <c r="J9" t="s">
        <v>1323</v>
      </c>
      <c r="K9" t="s">
        <v>1243</v>
      </c>
      <c r="L9" s="52" t="s">
        <v>124</v>
      </c>
      <c r="M9" s="52">
        <v>1</v>
      </c>
      <c r="N9" s="52">
        <v>1.5</v>
      </c>
      <c r="O9">
        <v>-5814</v>
      </c>
      <c r="P9" s="54">
        <v>-1.567E-2</v>
      </c>
      <c r="Q9" s="55">
        <v>92.61</v>
      </c>
      <c r="R9" s="61">
        <v>5</v>
      </c>
      <c r="Y9" t="s">
        <v>1318</v>
      </c>
      <c r="Z9" t="s">
        <v>1092</v>
      </c>
      <c r="AA9">
        <v>1</v>
      </c>
      <c r="AB9">
        <v>1.6</v>
      </c>
      <c r="AC9">
        <v>58156</v>
      </c>
      <c r="AD9" s="42">
        <v>1.77E-2</v>
      </c>
      <c r="AE9">
        <v>1030.96</v>
      </c>
      <c r="AF9" s="61">
        <v>14</v>
      </c>
      <c r="AT9" s="61"/>
      <c r="BH9" s="61"/>
      <c r="BX9" s="61"/>
      <c r="BY9" t="s">
        <v>1190</v>
      </c>
      <c r="BZ9">
        <v>2.1230000000000002</v>
      </c>
      <c r="CA9" t="s">
        <v>1287</v>
      </c>
      <c r="CG9" s="61"/>
    </row>
    <row r="10" spans="1:85" x14ac:dyDescent="0.3">
      <c r="A10">
        <v>1000977</v>
      </c>
      <c r="D10">
        <v>7</v>
      </c>
      <c r="J10" t="s">
        <v>1317</v>
      </c>
      <c r="K10" t="s">
        <v>1244</v>
      </c>
      <c r="L10" s="52" t="s">
        <v>122</v>
      </c>
      <c r="M10" s="52">
        <v>1</v>
      </c>
      <c r="N10" s="52">
        <v>1</v>
      </c>
      <c r="O10">
        <v>58156</v>
      </c>
      <c r="P10" s="54">
        <v>1.567E-2</v>
      </c>
      <c r="Q10" s="55">
        <v>912.3</v>
      </c>
      <c r="R10" s="61">
        <v>6</v>
      </c>
      <c r="AF10" s="61"/>
      <c r="AT10" s="61"/>
      <c r="BH10" s="61"/>
      <c r="BI10" t="s">
        <v>36</v>
      </c>
      <c r="BJ10" t="s">
        <v>114</v>
      </c>
      <c r="BK10">
        <v>3.15</v>
      </c>
      <c r="BL10">
        <v>588554</v>
      </c>
      <c r="BM10" s="42">
        <v>1.67E-2</v>
      </c>
      <c r="BN10">
        <v>9832.0018</v>
      </c>
      <c r="BO10" t="s">
        <v>1282</v>
      </c>
      <c r="BX10" s="61"/>
      <c r="CG10" s="61"/>
    </row>
    <row r="11" spans="1:85" x14ac:dyDescent="0.3">
      <c r="A11">
        <v>11000977</v>
      </c>
      <c r="D11">
        <v>8</v>
      </c>
      <c r="J11" t="s">
        <v>1319</v>
      </c>
      <c r="K11" t="s">
        <v>1245</v>
      </c>
      <c r="L11" s="52" t="s">
        <v>119</v>
      </c>
      <c r="M11" s="52">
        <v>1</v>
      </c>
      <c r="N11" s="52">
        <v>2.02</v>
      </c>
      <c r="O11">
        <v>585566</v>
      </c>
      <c r="P11" s="54">
        <v>1.567E-2</v>
      </c>
      <c r="Q11" s="55">
        <v>9177.84</v>
      </c>
      <c r="R11" s="61">
        <v>7</v>
      </c>
      <c r="AF11" s="61"/>
      <c r="AT11" s="61"/>
      <c r="BH11" s="61"/>
      <c r="BX11" s="61"/>
      <c r="BY11" t="s">
        <v>1192</v>
      </c>
      <c r="BZ11">
        <v>2.1230000000000002</v>
      </c>
      <c r="CA11" t="s">
        <v>1308</v>
      </c>
      <c r="CG11" s="61"/>
    </row>
    <row r="12" spans="1:85" x14ac:dyDescent="0.3">
      <c r="A12">
        <v>1000979</v>
      </c>
      <c r="D12">
        <v>9</v>
      </c>
      <c r="R12" s="61"/>
      <c r="AF12" s="61"/>
      <c r="AT12" s="61"/>
      <c r="BH12" s="61"/>
      <c r="BI12" t="s">
        <v>36</v>
      </c>
      <c r="BJ12" t="s">
        <v>114</v>
      </c>
      <c r="BK12">
        <v>3.15</v>
      </c>
      <c r="BL12">
        <v>588554</v>
      </c>
      <c r="BM12" s="42">
        <v>1.67E-2</v>
      </c>
      <c r="BN12">
        <v>9832.0018</v>
      </c>
      <c r="BO12" t="s">
        <v>1282</v>
      </c>
      <c r="BX12" s="61"/>
      <c r="CG12" s="61"/>
    </row>
    <row r="13" spans="1:85" x14ac:dyDescent="0.3">
      <c r="A13">
        <v>11000979</v>
      </c>
      <c r="D13">
        <v>10</v>
      </c>
      <c r="R13" s="61"/>
      <c r="AF13" s="61"/>
      <c r="AT13" s="61"/>
      <c r="BH13" s="61"/>
      <c r="BX13" s="61"/>
      <c r="BY13" t="s">
        <v>1192</v>
      </c>
      <c r="BZ13">
        <v>2.1230000000000002</v>
      </c>
      <c r="CA13" t="s">
        <v>1308</v>
      </c>
      <c r="CG13" s="61"/>
    </row>
    <row r="14" spans="1:85" x14ac:dyDescent="0.3">
      <c r="A14">
        <v>1000981</v>
      </c>
      <c r="B14" t="s">
        <v>24</v>
      </c>
      <c r="C14" t="s">
        <v>122</v>
      </c>
      <c r="D14">
        <v>11</v>
      </c>
      <c r="E14">
        <v>1</v>
      </c>
      <c r="F14">
        <v>584</v>
      </c>
      <c r="G14" s="42">
        <v>1.567E-2</v>
      </c>
      <c r="H14">
        <v>10.15128</v>
      </c>
      <c r="I14" t="s">
        <v>1235</v>
      </c>
      <c r="R14" s="61"/>
      <c r="S14" t="s">
        <v>1102</v>
      </c>
      <c r="T14">
        <v>1.6</v>
      </c>
      <c r="U14">
        <v>584</v>
      </c>
      <c r="V14" s="42">
        <v>1.77E-2</v>
      </c>
      <c r="W14">
        <v>11.9368</v>
      </c>
      <c r="X14" t="s">
        <v>1250</v>
      </c>
      <c r="AF14" s="61"/>
      <c r="AT14" s="61"/>
      <c r="AU14" t="s">
        <v>1166</v>
      </c>
      <c r="AV14">
        <v>1.66</v>
      </c>
      <c r="AW14">
        <v>584</v>
      </c>
      <c r="AX14" s="42">
        <v>1.77E-2</v>
      </c>
      <c r="AY14">
        <v>11.3368</v>
      </c>
      <c r="AZ14" t="s">
        <v>1270</v>
      </c>
      <c r="BH14" s="61"/>
      <c r="BX14" s="61"/>
      <c r="CG14" s="61"/>
    </row>
    <row r="15" spans="1:85" x14ac:dyDescent="0.3">
      <c r="A15">
        <v>11000981</v>
      </c>
      <c r="D15">
        <v>12</v>
      </c>
      <c r="R15" s="61"/>
      <c r="AF15" s="61"/>
      <c r="AT15" s="61"/>
      <c r="BH15" s="61"/>
      <c r="BX15" s="61"/>
      <c r="BY15" t="s">
        <v>1188</v>
      </c>
      <c r="BZ15">
        <v>2.1230000000000002</v>
      </c>
      <c r="CA15" t="s">
        <v>1286</v>
      </c>
      <c r="CG15" s="61"/>
    </row>
    <row r="16" spans="1:85" x14ac:dyDescent="0.3">
      <c r="A16">
        <v>1000983</v>
      </c>
      <c r="B16" t="s">
        <v>24</v>
      </c>
      <c r="C16" t="s">
        <v>126</v>
      </c>
      <c r="D16">
        <v>13</v>
      </c>
      <c r="E16">
        <v>2</v>
      </c>
      <c r="F16">
        <v>-584</v>
      </c>
      <c r="G16" s="42">
        <v>-1.567E-2</v>
      </c>
      <c r="H16">
        <v>11.15128</v>
      </c>
      <c r="I16" t="s">
        <v>1314</v>
      </c>
      <c r="R16" s="61"/>
      <c r="S16" t="s">
        <v>1142</v>
      </c>
      <c r="T16">
        <v>1.7</v>
      </c>
      <c r="U16">
        <v>-584</v>
      </c>
      <c r="V16" s="42">
        <v>-1.77E-2</v>
      </c>
      <c r="W16">
        <v>12.036799999999999</v>
      </c>
      <c r="X16" t="s">
        <v>1251</v>
      </c>
      <c r="AF16" s="61"/>
      <c r="AT16" s="61"/>
      <c r="AU16" t="s">
        <v>1178</v>
      </c>
      <c r="AV16">
        <v>1.77</v>
      </c>
      <c r="AW16">
        <v>-584</v>
      </c>
      <c r="AX16" s="42">
        <v>-1.77E-2</v>
      </c>
      <c r="AY16">
        <v>12.3368</v>
      </c>
      <c r="AZ16" t="s">
        <v>1275</v>
      </c>
      <c r="BH16" s="61"/>
      <c r="BX16" s="61"/>
      <c r="CG16" s="61"/>
    </row>
    <row r="17" spans="1:85" x14ac:dyDescent="0.3">
      <c r="A17">
        <v>11000983</v>
      </c>
      <c r="D17">
        <v>14</v>
      </c>
      <c r="R17" s="61"/>
      <c r="AF17" s="61"/>
      <c r="AT17" s="61"/>
      <c r="BH17" s="61"/>
      <c r="BX17" s="61"/>
      <c r="BY17" t="s">
        <v>1188</v>
      </c>
      <c r="BZ17">
        <v>2.1230000000000002</v>
      </c>
      <c r="CA17" t="s">
        <v>1286</v>
      </c>
      <c r="CG17" s="61"/>
    </row>
    <row r="18" spans="1:85" x14ac:dyDescent="0.3">
      <c r="A18">
        <v>1000985</v>
      </c>
      <c r="B18" t="s">
        <v>24</v>
      </c>
      <c r="C18" t="s">
        <v>124</v>
      </c>
      <c r="D18">
        <v>15</v>
      </c>
      <c r="E18">
        <v>1.5</v>
      </c>
      <c r="F18">
        <v>-5814</v>
      </c>
      <c r="G18" s="42">
        <v>-1.567E-2</v>
      </c>
      <c r="H18">
        <v>92.605379999999997</v>
      </c>
      <c r="I18" t="s">
        <v>1236</v>
      </c>
      <c r="R18" s="61"/>
      <c r="S18" t="s">
        <v>1142</v>
      </c>
      <c r="T18">
        <v>1.7</v>
      </c>
      <c r="U18">
        <v>-5814</v>
      </c>
      <c r="V18" s="42">
        <v>-1.77E-2</v>
      </c>
      <c r="W18">
        <v>104.6078</v>
      </c>
      <c r="X18" t="s">
        <v>1251</v>
      </c>
      <c r="AF18" s="61"/>
      <c r="AT18" s="61"/>
      <c r="BH18" s="61"/>
      <c r="BX18" s="61"/>
      <c r="CG18" s="61"/>
    </row>
    <row r="19" spans="1:85" x14ac:dyDescent="0.3">
      <c r="A19">
        <v>11000985</v>
      </c>
      <c r="D19">
        <v>16</v>
      </c>
      <c r="R19" s="61"/>
      <c r="AF19" s="61"/>
      <c r="AT19" s="61"/>
      <c r="BH19" s="61"/>
      <c r="BX19" s="61"/>
      <c r="BY19" t="s">
        <v>1188</v>
      </c>
      <c r="BZ19">
        <v>2.1230000000000002</v>
      </c>
      <c r="CA19" t="s">
        <v>1286</v>
      </c>
      <c r="CG19" s="61"/>
    </row>
    <row r="20" spans="1:85" x14ac:dyDescent="0.3">
      <c r="A20">
        <v>1000987</v>
      </c>
      <c r="B20" t="s">
        <v>24</v>
      </c>
      <c r="C20" t="s">
        <v>124</v>
      </c>
      <c r="D20">
        <v>17</v>
      </c>
      <c r="E20">
        <v>1.5</v>
      </c>
      <c r="F20">
        <v>-5814</v>
      </c>
      <c r="G20" s="42">
        <v>-1.567E-2</v>
      </c>
      <c r="H20">
        <v>92.605379999999997</v>
      </c>
      <c r="I20" t="s">
        <v>1236</v>
      </c>
      <c r="R20" s="61"/>
      <c r="S20" t="s">
        <v>1142</v>
      </c>
      <c r="T20">
        <v>1.7</v>
      </c>
      <c r="U20">
        <v>-5814</v>
      </c>
      <c r="V20" s="42">
        <v>-1.77E-2</v>
      </c>
      <c r="W20">
        <v>104.6078</v>
      </c>
      <c r="X20" t="s">
        <v>1251</v>
      </c>
      <c r="AF20" s="61"/>
      <c r="AG20" t="s">
        <v>1140</v>
      </c>
      <c r="AH20">
        <v>1.7</v>
      </c>
      <c r="AI20">
        <v>-5814</v>
      </c>
      <c r="AJ20" s="42">
        <v>-1.77E-2</v>
      </c>
      <c r="AK20">
        <v>104.40779999999999</v>
      </c>
      <c r="AL20" t="s">
        <v>1257</v>
      </c>
      <c r="AT20" s="61"/>
      <c r="BH20" s="61"/>
      <c r="BX20" s="61"/>
      <c r="CG20" s="61"/>
    </row>
    <row r="21" spans="1:85" x14ac:dyDescent="0.3">
      <c r="A21">
        <v>1000988</v>
      </c>
      <c r="B21" t="s">
        <v>30</v>
      </c>
      <c r="C21" t="s">
        <v>124</v>
      </c>
      <c r="D21">
        <v>18</v>
      </c>
      <c r="E21">
        <v>1.5</v>
      </c>
      <c r="F21">
        <v>-5814</v>
      </c>
      <c r="G21" s="42">
        <v>-1.567E-2</v>
      </c>
      <c r="H21">
        <v>92.605379999999997</v>
      </c>
      <c r="I21" t="s">
        <v>1323</v>
      </c>
      <c r="R21" s="61"/>
      <c r="S21" t="s">
        <v>1152</v>
      </c>
      <c r="T21">
        <v>1.7</v>
      </c>
      <c r="U21">
        <v>-5814</v>
      </c>
      <c r="V21" s="42">
        <v>-1.77E-2</v>
      </c>
      <c r="W21">
        <v>104.6078</v>
      </c>
      <c r="X21" t="s">
        <v>1315</v>
      </c>
      <c r="AF21" s="61"/>
      <c r="AG21" t="s">
        <v>1150</v>
      </c>
      <c r="AH21">
        <v>1.7</v>
      </c>
      <c r="AI21">
        <v>-5814</v>
      </c>
      <c r="AJ21" s="42">
        <v>-1.77E-2</v>
      </c>
      <c r="AK21">
        <v>104.40779999999999</v>
      </c>
      <c r="AL21" t="s">
        <v>1316</v>
      </c>
      <c r="AT21" s="61"/>
      <c r="BH21" s="61"/>
      <c r="BX21" s="61"/>
      <c r="CG21" s="61"/>
    </row>
    <row r="22" spans="1:85" x14ac:dyDescent="0.3">
      <c r="A22">
        <v>1000989</v>
      </c>
      <c r="B22" t="s">
        <v>18</v>
      </c>
      <c r="C22" t="s">
        <v>122</v>
      </c>
      <c r="D22">
        <v>19</v>
      </c>
      <c r="E22">
        <v>1</v>
      </c>
      <c r="F22">
        <v>58156</v>
      </c>
      <c r="G22" s="42">
        <v>1.567E-2</v>
      </c>
      <c r="H22">
        <v>912.30452000000002</v>
      </c>
      <c r="I22" t="s">
        <v>1317</v>
      </c>
      <c r="R22" s="61"/>
      <c r="S22" t="s">
        <v>1092</v>
      </c>
      <c r="T22">
        <v>1.6</v>
      </c>
      <c r="U22">
        <v>58156</v>
      </c>
      <c r="V22" s="42">
        <v>1.77E-2</v>
      </c>
      <c r="W22">
        <v>1030.9612</v>
      </c>
      <c r="X22" t="s">
        <v>1318</v>
      </c>
      <c r="AF22" s="61"/>
      <c r="AG22" t="s">
        <v>1090</v>
      </c>
      <c r="AH22">
        <v>1.6</v>
      </c>
      <c r="AI22">
        <v>58156</v>
      </c>
      <c r="AJ22" s="42">
        <v>1.77E-2</v>
      </c>
      <c r="AK22">
        <v>1030.3612000000001</v>
      </c>
      <c r="AL22" t="s">
        <v>1256</v>
      </c>
      <c r="AT22" s="61"/>
      <c r="AU22" t="s">
        <v>1163</v>
      </c>
      <c r="AV22">
        <v>1.66</v>
      </c>
      <c r="AW22">
        <v>58156</v>
      </c>
      <c r="AX22" s="42">
        <v>1.77E-2</v>
      </c>
      <c r="AY22">
        <v>1030.3612000000001</v>
      </c>
      <c r="AZ22" t="s">
        <v>1266</v>
      </c>
      <c r="BH22" s="61"/>
      <c r="BX22" s="61"/>
      <c r="CG22" s="61"/>
    </row>
    <row r="23" spans="1:85" x14ac:dyDescent="0.3">
      <c r="A23">
        <v>1000990</v>
      </c>
      <c r="B23" t="s">
        <v>26</v>
      </c>
      <c r="C23" t="s">
        <v>119</v>
      </c>
      <c r="D23">
        <v>20</v>
      </c>
      <c r="E23">
        <v>2.02</v>
      </c>
      <c r="F23">
        <v>585566</v>
      </c>
      <c r="G23" s="42">
        <v>1.567E-2</v>
      </c>
      <c r="H23">
        <v>9177.8392199999998</v>
      </c>
      <c r="I23" t="s">
        <v>1319</v>
      </c>
      <c r="R23" s="61"/>
      <c r="S23" t="s">
        <v>1102</v>
      </c>
      <c r="T23">
        <v>1.6</v>
      </c>
      <c r="U23">
        <v>585566</v>
      </c>
      <c r="V23" s="42">
        <v>1.77E-2</v>
      </c>
      <c r="W23">
        <v>10366.118200000001</v>
      </c>
      <c r="X23" t="s">
        <v>1250</v>
      </c>
      <c r="AF23" s="61"/>
      <c r="AT23" s="61"/>
      <c r="AU23" t="s">
        <v>1166</v>
      </c>
      <c r="AV23">
        <v>1.66</v>
      </c>
      <c r="AW23">
        <v>585566</v>
      </c>
      <c r="AX23" s="42">
        <v>1.77E-2</v>
      </c>
      <c r="AY23">
        <v>10366.538200000001</v>
      </c>
      <c r="AZ23" t="s">
        <v>1270</v>
      </c>
      <c r="BH23" s="61"/>
      <c r="BX23" s="61"/>
      <c r="CG23" s="61"/>
    </row>
    <row r="24" spans="1:85" x14ac:dyDescent="0.3">
      <c r="A24">
        <v>11000990</v>
      </c>
      <c r="D24">
        <v>21</v>
      </c>
      <c r="R24" s="61"/>
      <c r="AF24" s="61"/>
      <c r="AT24" s="61"/>
      <c r="BH24" s="61"/>
      <c r="BX24" s="61"/>
      <c r="BY24" t="s">
        <v>1188</v>
      </c>
      <c r="BZ24">
        <v>2.1230000000000002</v>
      </c>
      <c r="CA24" t="s">
        <v>1286</v>
      </c>
      <c r="CG24" s="61"/>
    </row>
    <row r="25" spans="1:85" x14ac:dyDescent="0.3">
      <c r="A25" t="s">
        <v>1228</v>
      </c>
      <c r="D25">
        <v>22</v>
      </c>
      <c r="R25" s="61"/>
      <c r="AF25" s="61"/>
      <c r="AT25" s="61"/>
      <c r="BH25" s="61"/>
      <c r="BX25" s="61"/>
      <c r="CG25" s="61"/>
    </row>
  </sheetData>
  <conditionalFormatting sqref="BA1:BA1048576">
    <cfRule type="duplicateValues" dxfId="7" priority="9"/>
    <cfRule type="duplicateValues" dxfId="6" priority="3"/>
  </conditionalFormatting>
  <conditionalFormatting sqref="BP1 BP4:BP1048576">
    <cfRule type="duplicateValues" dxfId="5" priority="7"/>
  </conditionalFormatting>
  <conditionalFormatting sqref="J1:J1048576">
    <cfRule type="duplicateValues" dxfId="4" priority="6"/>
  </conditionalFormatting>
  <conditionalFormatting sqref="Y1:Y1048576">
    <cfRule type="duplicateValues" dxfId="3" priority="5"/>
  </conditionalFormatting>
  <conditionalFormatting sqref="AM1:AM1048576">
    <cfRule type="duplicateValues" dxfId="2" priority="4"/>
  </conditionalFormatting>
  <conditionalFormatting sqref="BP1:BP1048576">
    <cfRule type="duplicateValues" dxfId="1" priority="2"/>
  </conditionalFormatting>
  <conditionalFormatting sqref="CB1:CB1048576">
    <cfRule type="duplicateValues" dxfId="0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regreshPricing">
                <anchor moveWithCells="1" sizeWithCells="1">
                  <from>
                    <xdr:col>5</xdr:col>
                    <xdr:colOff>396240</xdr:colOff>
                    <xdr:row>0</xdr:row>
                    <xdr:rowOff>38100</xdr:rowOff>
                  </from>
                  <to>
                    <xdr:col>7</xdr:col>
                    <xdr:colOff>510540</xdr:colOff>
                    <xdr:row>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pricing">
                <anchor moveWithCells="1" sizeWithCells="1">
                  <from>
                    <xdr:col>8</xdr:col>
                    <xdr:colOff>152400</xdr:colOff>
                    <xdr:row>0</xdr:row>
                    <xdr:rowOff>22860</xdr:rowOff>
                  </from>
                  <to>
                    <xdr:col>8</xdr:col>
                    <xdr:colOff>1524000</xdr:colOff>
                    <xdr:row>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Button 5">
              <controlPr defaultSize="0" print="0" autoFill="0" autoPict="0" macro="[0]!invoicing">
                <anchor moveWithCells="1" sizeWithCells="1">
                  <from>
                    <xdr:col>8</xdr:col>
                    <xdr:colOff>1645920</xdr:colOff>
                    <xdr:row>0</xdr:row>
                    <xdr:rowOff>22860</xdr:rowOff>
                  </from>
                  <to>
                    <xdr:col>9</xdr:col>
                    <xdr:colOff>365760</xdr:colOff>
                    <xdr:row>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51829-D6E9-47F7-B100-D887D42457AD}">
  <sheetPr codeName="Sheet16"/>
  <dimension ref="A1:I49"/>
  <sheetViews>
    <sheetView topLeftCell="A7" workbookViewId="0">
      <selection activeCell="H31" sqref="H31:H42"/>
    </sheetView>
  </sheetViews>
  <sheetFormatPr defaultRowHeight="14.4" x14ac:dyDescent="0.3"/>
  <cols>
    <col min="2" max="2" width="23.21875" customWidth="1"/>
    <col min="3" max="3" width="16.21875" customWidth="1"/>
    <col min="4" max="4" width="5.5546875" style="52" customWidth="1"/>
    <col min="5" max="5" width="8.88671875" style="52"/>
    <col min="7" max="7" width="10.5546875" style="52" bestFit="1" customWidth="1"/>
    <col min="9" max="9" width="10.5546875" bestFit="1" customWidth="1"/>
  </cols>
  <sheetData>
    <row r="1" spans="1:9" x14ac:dyDescent="0.3">
      <c r="B1" t="s">
        <v>1289</v>
      </c>
    </row>
    <row r="2" spans="1:9" x14ac:dyDescent="0.3">
      <c r="B2" t="s">
        <v>1291</v>
      </c>
    </row>
    <row r="3" spans="1:9" x14ac:dyDescent="0.3">
      <c r="B3" t="s">
        <v>1292</v>
      </c>
    </row>
    <row r="4" spans="1:9" ht="15" thickBot="1" x14ac:dyDescent="0.35">
      <c r="B4" t="s">
        <v>1293</v>
      </c>
    </row>
    <row r="5" spans="1:9" x14ac:dyDescent="0.3">
      <c r="B5" s="81" t="s">
        <v>1294</v>
      </c>
      <c r="C5" s="82"/>
      <c r="D5" s="82"/>
      <c r="E5" s="82"/>
      <c r="F5" s="82"/>
      <c r="G5" s="82"/>
      <c r="H5" s="77" t="s">
        <v>1295</v>
      </c>
    </row>
    <row r="6" spans="1:9" x14ac:dyDescent="0.3">
      <c r="B6" s="83" t="s">
        <v>1296</v>
      </c>
      <c r="C6" s="84"/>
      <c r="D6" s="84"/>
      <c r="E6" s="84"/>
      <c r="F6" s="84"/>
      <c r="G6" s="85"/>
      <c r="H6" s="80">
        <v>10397.870000000001</v>
      </c>
    </row>
    <row r="7" spans="1:9" x14ac:dyDescent="0.3">
      <c r="B7" s="83" t="s">
        <v>1297</v>
      </c>
      <c r="C7" s="84"/>
      <c r="D7" s="84"/>
      <c r="E7" s="84"/>
      <c r="F7" s="84"/>
      <c r="G7" s="85"/>
      <c r="H7" s="78">
        <v>19968.170000000002</v>
      </c>
    </row>
    <row r="8" spans="1:9" x14ac:dyDescent="0.3">
      <c r="B8" s="83" t="s">
        <v>1298</v>
      </c>
      <c r="C8" s="84"/>
      <c r="D8" s="84"/>
      <c r="E8" s="84"/>
      <c r="F8" s="84"/>
      <c r="G8" s="85"/>
      <c r="H8" s="78">
        <v>24413.919999999998</v>
      </c>
    </row>
    <row r="9" spans="1:9" x14ac:dyDescent="0.3">
      <c r="B9" s="83" t="s">
        <v>1299</v>
      </c>
      <c r="C9" s="84"/>
      <c r="D9" s="84"/>
      <c r="E9" s="84"/>
      <c r="F9" s="84"/>
      <c r="G9" s="85"/>
      <c r="H9" s="78">
        <v>16.989999999999998</v>
      </c>
    </row>
    <row r="10" spans="1:9" x14ac:dyDescent="0.3">
      <c r="B10" s="83" t="s">
        <v>1300</v>
      </c>
      <c r="C10" s="84"/>
      <c r="D10" s="84"/>
      <c r="E10" s="84"/>
      <c r="F10" s="84"/>
      <c r="G10" s="85"/>
      <c r="H10" s="78">
        <f>SUM(H6:H9)</f>
        <v>54796.95</v>
      </c>
    </row>
    <row r="11" spans="1:9" x14ac:dyDescent="0.3">
      <c r="B11" s="83" t="s">
        <v>1301</v>
      </c>
      <c r="C11" s="84"/>
      <c r="D11" s="84"/>
      <c r="E11" s="84"/>
      <c r="F11" s="84"/>
      <c r="G11" s="85"/>
      <c r="H11" s="78">
        <f>(H9+H7)*0.2</f>
        <v>3997.0320000000011</v>
      </c>
    </row>
    <row r="12" spans="1:9" ht="15" thickBot="1" x14ac:dyDescent="0.35">
      <c r="B12" s="86" t="s">
        <v>1302</v>
      </c>
      <c r="C12" s="87"/>
      <c r="D12" s="87"/>
      <c r="E12" s="87"/>
      <c r="F12" s="87"/>
      <c r="G12" s="88"/>
      <c r="H12" s="79">
        <f>H11+H10</f>
        <v>58793.981999999996</v>
      </c>
    </row>
    <row r="14" spans="1:9" x14ac:dyDescent="0.3">
      <c r="B14" t="s">
        <v>1290</v>
      </c>
    </row>
    <row r="15" spans="1:9" x14ac:dyDescent="0.3">
      <c r="B15" t="s">
        <v>1303</v>
      </c>
    </row>
    <row r="16" spans="1:9" x14ac:dyDescent="0.3">
      <c r="A16">
        <v>1</v>
      </c>
      <c r="G16" s="54"/>
      <c r="I16" s="67"/>
    </row>
    <row r="17" spans="1:9" x14ac:dyDescent="0.3">
      <c r="A17">
        <v>2</v>
      </c>
      <c r="B17" t="s">
        <v>1242</v>
      </c>
      <c r="C17" t="s">
        <v>122</v>
      </c>
      <c r="D17" s="52">
        <v>1</v>
      </c>
      <c r="E17" s="52">
        <v>1</v>
      </c>
      <c r="F17">
        <v>584</v>
      </c>
      <c r="G17" s="54">
        <v>1.567E-2</v>
      </c>
      <c r="H17">
        <v>10.15</v>
      </c>
      <c r="I17" s="67"/>
    </row>
    <row r="18" spans="1:9" x14ac:dyDescent="0.3">
      <c r="A18">
        <v>3</v>
      </c>
      <c r="B18" t="s">
        <v>1242</v>
      </c>
      <c r="C18" t="s">
        <v>126</v>
      </c>
      <c r="D18" s="52">
        <v>1</v>
      </c>
      <c r="E18" s="52">
        <v>2</v>
      </c>
      <c r="F18">
        <v>-584</v>
      </c>
      <c r="G18" s="54">
        <v>-1.567E-2</v>
      </c>
      <c r="H18">
        <v>11.15</v>
      </c>
      <c r="I18" s="67"/>
    </row>
    <row r="19" spans="1:9" x14ac:dyDescent="0.3">
      <c r="A19">
        <v>4</v>
      </c>
      <c r="B19" t="s">
        <v>1242</v>
      </c>
      <c r="C19" t="s">
        <v>124</v>
      </c>
      <c r="D19" s="52">
        <v>3</v>
      </c>
      <c r="E19" s="52">
        <v>1.5</v>
      </c>
      <c r="F19">
        <v>-12082</v>
      </c>
      <c r="G19" s="54">
        <v>-1.567E-2</v>
      </c>
      <c r="H19">
        <v>193.82</v>
      </c>
      <c r="I19" s="67"/>
    </row>
    <row r="20" spans="1:9" x14ac:dyDescent="0.3">
      <c r="A20">
        <v>5</v>
      </c>
      <c r="B20" t="s">
        <v>1243</v>
      </c>
      <c r="C20" t="s">
        <v>124</v>
      </c>
      <c r="D20" s="52">
        <v>1</v>
      </c>
      <c r="E20" s="52">
        <v>1.5</v>
      </c>
      <c r="F20">
        <v>-5814</v>
      </c>
      <c r="G20" s="54">
        <v>-1.567E-2</v>
      </c>
      <c r="H20">
        <v>92.61</v>
      </c>
      <c r="I20" s="67"/>
    </row>
    <row r="21" spans="1:9" x14ac:dyDescent="0.3">
      <c r="A21">
        <v>6</v>
      </c>
      <c r="B21" t="s">
        <v>1244</v>
      </c>
      <c r="C21" t="s">
        <v>122</v>
      </c>
      <c r="D21" s="52">
        <v>1</v>
      </c>
      <c r="E21" s="52">
        <v>1</v>
      </c>
      <c r="F21">
        <v>58156</v>
      </c>
      <c r="G21" s="54">
        <v>1.567E-2</v>
      </c>
      <c r="H21">
        <v>912.3</v>
      </c>
      <c r="I21" s="67"/>
    </row>
    <row r="22" spans="1:9" x14ac:dyDescent="0.3">
      <c r="A22">
        <v>7</v>
      </c>
      <c r="B22" t="s">
        <v>1245</v>
      </c>
      <c r="C22" t="s">
        <v>119</v>
      </c>
      <c r="D22" s="52">
        <v>1</v>
      </c>
      <c r="E22" s="52">
        <v>2.02</v>
      </c>
      <c r="F22">
        <v>585566</v>
      </c>
      <c r="G22" s="54">
        <v>1.567E-2</v>
      </c>
      <c r="H22">
        <v>9177.84</v>
      </c>
      <c r="I22" s="67"/>
    </row>
    <row r="23" spans="1:9" x14ac:dyDescent="0.3">
      <c r="B23" t="s">
        <v>1309</v>
      </c>
      <c r="I23" s="67"/>
    </row>
    <row r="24" spans="1:9" x14ac:dyDescent="0.3">
      <c r="A24" t="s">
        <v>1229</v>
      </c>
      <c r="I24" s="67"/>
    </row>
    <row r="25" spans="1:9" x14ac:dyDescent="0.3">
      <c r="B25" t="s">
        <v>1310</v>
      </c>
      <c r="I25" s="67"/>
    </row>
    <row r="26" spans="1:9" x14ac:dyDescent="0.3">
      <c r="A26">
        <v>8</v>
      </c>
      <c r="B26" t="s">
        <v>1283</v>
      </c>
      <c r="C26" t="s">
        <v>114</v>
      </c>
      <c r="D26" s="52">
        <v>3</v>
      </c>
      <c r="E26" s="52">
        <v>3.15</v>
      </c>
      <c r="F26">
        <v>1182990</v>
      </c>
      <c r="G26" s="54">
        <v>1.67E-2</v>
      </c>
      <c r="H26">
        <v>19765.38</v>
      </c>
      <c r="I26" s="67"/>
    </row>
    <row r="27" spans="1:9" x14ac:dyDescent="0.3">
      <c r="A27">
        <v>9</v>
      </c>
      <c r="B27" t="s">
        <v>1284</v>
      </c>
      <c r="C27" t="s">
        <v>114</v>
      </c>
      <c r="D27" s="52">
        <v>2</v>
      </c>
      <c r="E27" s="52">
        <v>3.1669999999999998</v>
      </c>
      <c r="F27">
        <v>11764</v>
      </c>
      <c r="G27" s="54">
        <v>1.67E-2</v>
      </c>
      <c r="H27">
        <v>202.79</v>
      </c>
      <c r="I27" s="67"/>
    </row>
    <row r="28" spans="1:9" x14ac:dyDescent="0.3">
      <c r="B28" t="s">
        <v>1311</v>
      </c>
      <c r="I28" s="67"/>
    </row>
    <row r="29" spans="1:9" x14ac:dyDescent="0.3">
      <c r="A29" t="s">
        <v>1229</v>
      </c>
      <c r="I29" s="67"/>
    </row>
    <row r="30" spans="1:9" x14ac:dyDescent="0.3">
      <c r="B30" t="s">
        <v>1304</v>
      </c>
      <c r="I30" s="67"/>
    </row>
    <row r="31" spans="1:9" x14ac:dyDescent="0.3">
      <c r="A31">
        <v>10</v>
      </c>
      <c r="B31" t="s">
        <v>1146</v>
      </c>
      <c r="D31" s="52">
        <v>1</v>
      </c>
      <c r="E31" s="52">
        <v>1.7</v>
      </c>
      <c r="F31">
        <v>-454</v>
      </c>
      <c r="G31" s="54">
        <v>-1.77E-2</v>
      </c>
      <c r="H31">
        <v>9.74</v>
      </c>
      <c r="I31" s="67"/>
    </row>
    <row r="32" spans="1:9" x14ac:dyDescent="0.3">
      <c r="A32">
        <v>11</v>
      </c>
      <c r="B32" t="s">
        <v>1102</v>
      </c>
      <c r="D32" s="52">
        <v>2</v>
      </c>
      <c r="E32" s="52">
        <v>1.6</v>
      </c>
      <c r="F32">
        <v>586150</v>
      </c>
      <c r="G32" s="54">
        <v>1.77E-2</v>
      </c>
      <c r="H32">
        <v>10378.06</v>
      </c>
      <c r="I32" s="67"/>
    </row>
    <row r="33" spans="1:9" x14ac:dyDescent="0.3">
      <c r="A33">
        <v>12</v>
      </c>
      <c r="B33" t="s">
        <v>1142</v>
      </c>
      <c r="D33" s="52">
        <v>3</v>
      </c>
      <c r="E33" s="52">
        <v>1.7</v>
      </c>
      <c r="F33">
        <v>-12212</v>
      </c>
      <c r="G33" s="54">
        <v>-1.77E-2</v>
      </c>
      <c r="H33">
        <v>221.25</v>
      </c>
      <c r="I33" s="67"/>
    </row>
    <row r="34" spans="1:9" x14ac:dyDescent="0.3">
      <c r="A34">
        <v>13</v>
      </c>
      <c r="B34" t="s">
        <v>1152</v>
      </c>
      <c r="D34" s="52">
        <v>1</v>
      </c>
      <c r="E34" s="52">
        <v>1.7</v>
      </c>
      <c r="F34">
        <v>-5814</v>
      </c>
      <c r="G34" s="54">
        <v>-1.77E-2</v>
      </c>
      <c r="H34">
        <v>104.61</v>
      </c>
      <c r="I34" s="67"/>
    </row>
    <row r="35" spans="1:9" x14ac:dyDescent="0.3">
      <c r="A35">
        <v>14</v>
      </c>
      <c r="B35" t="s">
        <v>1092</v>
      </c>
      <c r="D35" s="52">
        <v>1</v>
      </c>
      <c r="E35" s="52">
        <v>1.6</v>
      </c>
      <c r="F35">
        <v>58156</v>
      </c>
      <c r="G35" s="54">
        <v>1.77E-2</v>
      </c>
      <c r="H35">
        <v>1030.96</v>
      </c>
      <c r="I35" s="67"/>
    </row>
    <row r="36" spans="1:9" x14ac:dyDescent="0.3">
      <c r="A36">
        <v>15</v>
      </c>
      <c r="B36" t="s">
        <v>1140</v>
      </c>
      <c r="D36" s="52">
        <v>1</v>
      </c>
      <c r="E36" s="52">
        <v>1.7</v>
      </c>
      <c r="F36">
        <v>-5814</v>
      </c>
      <c r="G36" s="54">
        <v>-1.77E-2</v>
      </c>
      <c r="H36">
        <v>104.41</v>
      </c>
      <c r="I36" s="67"/>
    </row>
    <row r="37" spans="1:9" x14ac:dyDescent="0.3">
      <c r="A37">
        <v>16</v>
      </c>
      <c r="B37" t="s">
        <v>1150</v>
      </c>
      <c r="D37" s="52">
        <v>1</v>
      </c>
      <c r="E37" s="52">
        <v>1.7</v>
      </c>
      <c r="F37">
        <v>-5814</v>
      </c>
      <c r="G37" s="54">
        <v>-1.77E-2</v>
      </c>
      <c r="H37">
        <v>104.41</v>
      </c>
      <c r="I37" s="67"/>
    </row>
    <row r="38" spans="1:9" x14ac:dyDescent="0.3">
      <c r="A38">
        <v>17</v>
      </c>
      <c r="B38" t="s">
        <v>1090</v>
      </c>
      <c r="D38" s="52">
        <v>1</v>
      </c>
      <c r="E38" s="52">
        <v>1.6</v>
      </c>
      <c r="F38">
        <v>58156</v>
      </c>
      <c r="G38" s="54">
        <v>1.77E-2</v>
      </c>
      <c r="H38" s="66">
        <v>1030.3599999999999</v>
      </c>
      <c r="I38" s="67"/>
    </row>
    <row r="39" spans="1:9" x14ac:dyDescent="0.3">
      <c r="A39">
        <v>18</v>
      </c>
      <c r="B39" t="s">
        <v>1179</v>
      </c>
      <c r="D39" s="52">
        <v>1</v>
      </c>
      <c r="E39" s="52">
        <v>1.77</v>
      </c>
      <c r="F39">
        <v>-454</v>
      </c>
      <c r="G39" s="54">
        <v>-1.77E-2</v>
      </c>
      <c r="H39">
        <v>9.5399999999999991</v>
      </c>
      <c r="I39" s="67"/>
    </row>
    <row r="40" spans="1:9" x14ac:dyDescent="0.3">
      <c r="A40">
        <v>19</v>
      </c>
      <c r="B40" t="s">
        <v>1166</v>
      </c>
      <c r="D40" s="52">
        <v>2</v>
      </c>
      <c r="E40" s="52">
        <v>1.66</v>
      </c>
      <c r="F40">
        <v>586150</v>
      </c>
      <c r="G40" s="54">
        <v>1.77E-2</v>
      </c>
      <c r="H40">
        <v>10377.879999999999</v>
      </c>
      <c r="I40" s="67"/>
    </row>
    <row r="41" spans="1:9" x14ac:dyDescent="0.3">
      <c r="A41">
        <v>20</v>
      </c>
      <c r="B41" t="s">
        <v>1178</v>
      </c>
      <c r="D41" s="52">
        <v>1</v>
      </c>
      <c r="E41" s="52">
        <v>1.77</v>
      </c>
      <c r="F41">
        <v>-584</v>
      </c>
      <c r="G41" s="54">
        <v>-1.77E-2</v>
      </c>
      <c r="H41">
        <v>12.34</v>
      </c>
      <c r="I41" s="67"/>
    </row>
    <row r="42" spans="1:9" x14ac:dyDescent="0.3">
      <c r="A42">
        <v>21</v>
      </c>
      <c r="B42" t="s">
        <v>1163</v>
      </c>
      <c r="D42" s="52">
        <v>1</v>
      </c>
      <c r="E42" s="52">
        <v>1.66</v>
      </c>
      <c r="F42">
        <v>58156</v>
      </c>
      <c r="G42" s="54">
        <v>1.77E-2</v>
      </c>
      <c r="H42">
        <v>1030.3599999999999</v>
      </c>
      <c r="I42" s="67"/>
    </row>
    <row r="43" spans="1:9" x14ac:dyDescent="0.3">
      <c r="B43" t="s">
        <v>1312</v>
      </c>
      <c r="I43" s="67"/>
    </row>
    <row r="44" spans="1:9" x14ac:dyDescent="0.3">
      <c r="A44" t="s">
        <v>1229</v>
      </c>
      <c r="I44" s="67"/>
    </row>
    <row r="45" spans="1:9" x14ac:dyDescent="0.3">
      <c r="B45" t="s">
        <v>1226</v>
      </c>
      <c r="I45" s="67"/>
    </row>
    <row r="46" spans="1:9" x14ac:dyDescent="0.3">
      <c r="A46">
        <v>22</v>
      </c>
      <c r="B46" t="s">
        <v>1188</v>
      </c>
      <c r="D46" s="52">
        <v>5</v>
      </c>
      <c r="E46" s="52">
        <v>2.1230000000000002</v>
      </c>
      <c r="H46">
        <v>10.62</v>
      </c>
      <c r="I46" s="67"/>
    </row>
    <row r="47" spans="1:9" x14ac:dyDescent="0.3">
      <c r="A47">
        <v>23</v>
      </c>
      <c r="B47" t="s">
        <v>1190</v>
      </c>
      <c r="D47" s="52">
        <v>1</v>
      </c>
      <c r="E47" s="52">
        <v>2.1230000000000002</v>
      </c>
      <c r="H47">
        <v>2.12</v>
      </c>
      <c r="I47" s="67"/>
    </row>
    <row r="48" spans="1:9" x14ac:dyDescent="0.3">
      <c r="A48">
        <v>24</v>
      </c>
      <c r="B48" t="s">
        <v>1192</v>
      </c>
      <c r="D48" s="52">
        <v>2</v>
      </c>
      <c r="E48" s="52">
        <v>2.1230000000000002</v>
      </c>
      <c r="H48">
        <v>4.25</v>
      </c>
      <c r="I48" s="67"/>
    </row>
    <row r="49" spans="2:2" x14ac:dyDescent="0.3">
      <c r="B49" t="s">
        <v>1313</v>
      </c>
    </row>
  </sheetData>
  <mergeCells count="8">
    <mergeCell ref="B12:G12"/>
    <mergeCell ref="B5:G5"/>
    <mergeCell ref="B6:G6"/>
    <mergeCell ref="B7:G7"/>
    <mergeCell ref="B8:G8"/>
    <mergeCell ref="B9:G9"/>
    <mergeCell ref="B10:G10"/>
    <mergeCell ref="B11:G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generateInvoice">
                <anchor moveWithCells="1" sizeWithCells="1">
                  <from>
                    <xdr:col>3</xdr:col>
                    <xdr:colOff>236220</xdr:colOff>
                    <xdr:row>0</xdr:row>
                    <xdr:rowOff>22860</xdr:rowOff>
                  </from>
                  <to>
                    <xdr:col>6</xdr:col>
                    <xdr:colOff>137160</xdr:colOff>
                    <xdr:row>1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D66D9-E322-4CEA-BC93-1113DDFC648B}">
  <sheetPr codeName="Sheet15"/>
  <dimension ref="A1:S102"/>
  <sheetViews>
    <sheetView topLeftCell="K1" workbookViewId="0">
      <selection activeCell="R12" sqref="R12"/>
    </sheetView>
  </sheetViews>
  <sheetFormatPr defaultRowHeight="14.4" x14ac:dyDescent="0.3"/>
  <cols>
    <col min="14" max="15" width="50.88671875" bestFit="1" customWidth="1"/>
    <col min="18" max="18" width="47" bestFit="1" customWidth="1"/>
  </cols>
  <sheetData>
    <row r="1" spans="1:19" x14ac:dyDescent="0.3">
      <c r="A1" t="s">
        <v>663</v>
      </c>
      <c r="B1" t="str">
        <f>$A$1&amp;psegm!$A2</f>
        <v>ACAMCC1</v>
      </c>
      <c r="C1" t="s">
        <v>664</v>
      </c>
      <c r="D1" t="str">
        <f>$C$1&amp;psegm!$A2</f>
        <v>AOCMCC1</v>
      </c>
      <c r="E1" t="s">
        <v>666</v>
      </c>
      <c r="F1" t="str">
        <f>$E$1&amp;psegm!$A2</f>
        <v>APCMCC1</v>
      </c>
      <c r="G1" t="s">
        <v>665</v>
      </c>
      <c r="H1" t="str">
        <f>$G$1&amp;psegm!$A2</f>
        <v>APUMCC1</v>
      </c>
      <c r="I1" t="s">
        <v>667</v>
      </c>
      <c r="J1" t="str">
        <f>$I$1&amp;psegm!$A2</f>
        <v>ARFMCC1</v>
      </c>
    </row>
    <row r="2" spans="1:19" x14ac:dyDescent="0.3">
      <c r="B2" t="str">
        <f>$A$1&amp;psegm!A3</f>
        <v>ACAMCC2</v>
      </c>
      <c r="D2" t="str">
        <f>$C$1&amp;psegm!$A3</f>
        <v>AOCMCC2</v>
      </c>
      <c r="F2" t="str">
        <f>$E$1&amp;psegm!$A3</f>
        <v>APCMCC2</v>
      </c>
      <c r="H2" t="str">
        <f>$G$1&amp;psegm!$A3</f>
        <v>APUMCC2</v>
      </c>
      <c r="J2" t="str">
        <f>$I$1&amp;psegm!$A3</f>
        <v>ARFMCC2</v>
      </c>
      <c r="O2" s="57" t="s">
        <v>1240</v>
      </c>
    </row>
    <row r="3" spans="1:19" x14ac:dyDescent="0.3">
      <c r="B3" t="str">
        <f>$A$1&amp;psegm!A4</f>
        <v>ACAMCC3</v>
      </c>
      <c r="D3" t="str">
        <f>$C$1&amp;psegm!$A4</f>
        <v>AOCMCC3</v>
      </c>
      <c r="F3" t="str">
        <f>$E$1&amp;psegm!$A4</f>
        <v>APCMCC3</v>
      </c>
      <c r="H3" t="str">
        <f>$G$1&amp;psegm!$A4</f>
        <v>APUMCC3</v>
      </c>
      <c r="J3" t="str">
        <f>$I$1&amp;psegm!$A4</f>
        <v>ARFMCC3</v>
      </c>
      <c r="N3" s="49" t="s">
        <v>1240</v>
      </c>
      <c r="O3" s="58" t="s">
        <v>1262</v>
      </c>
      <c r="P3">
        <f>COUNTIF(N:N,O3)</f>
        <v>3</v>
      </c>
      <c r="Q3" t="b">
        <f>O3=R3</f>
        <v>1</v>
      </c>
      <c r="R3" t="s">
        <v>1262</v>
      </c>
      <c r="S3">
        <v>3</v>
      </c>
    </row>
    <row r="4" spans="1:19" x14ac:dyDescent="0.3">
      <c r="B4" t="str">
        <f>$A$1&amp;psegm!A5</f>
        <v>ACAMCC4</v>
      </c>
      <c r="D4" t="str">
        <f>$C$1&amp;psegm!$A5</f>
        <v>AOCMCC4</v>
      </c>
      <c r="F4" t="str">
        <f>$E$1&amp;psegm!$A5</f>
        <v>APCMCC4</v>
      </c>
      <c r="H4" t="str">
        <f>$G$1&amp;psegm!$A5</f>
        <v>APUMCC4</v>
      </c>
      <c r="J4" t="str">
        <f>$I$1&amp;psegm!$A5</f>
        <v>ARFMCC4</v>
      </c>
      <c r="K4" t="str">
        <f>$I$1&amp;psegm!$A5</f>
        <v>ARFMCC4</v>
      </c>
      <c r="N4" t="s">
        <v>1262</v>
      </c>
      <c r="O4" t="s">
        <v>1263</v>
      </c>
      <c r="P4">
        <f t="shared" ref="P4:P11" si="0">COUNTIF(N:N,O4)</f>
        <v>10</v>
      </c>
      <c r="Q4" t="b">
        <f t="shared" ref="Q4:Q17" si="1">O4=R4</f>
        <v>1</v>
      </c>
      <c r="R4" t="s">
        <v>1263</v>
      </c>
      <c r="S4">
        <v>10</v>
      </c>
    </row>
    <row r="5" spans="1:19" x14ac:dyDescent="0.3">
      <c r="B5" t="str">
        <f>$A$1&amp;psegm!A6</f>
        <v>ACAMCC5</v>
      </c>
      <c r="D5" t="str">
        <f>$C$1&amp;psegm!$A6</f>
        <v>AOCMCC5</v>
      </c>
      <c r="F5" t="str">
        <f>$E$1&amp;psegm!$A6</f>
        <v>APCMCC5</v>
      </c>
      <c r="H5" t="str">
        <f>$G$1&amp;psegm!$A6</f>
        <v>APUMCC5</v>
      </c>
      <c r="J5" t="str">
        <f>$I$1&amp;psegm!$A6</f>
        <v>ARFMCC5</v>
      </c>
      <c r="K5" t="s">
        <v>189</v>
      </c>
      <c r="N5" t="s">
        <v>1263</v>
      </c>
      <c r="O5" t="s">
        <v>1264</v>
      </c>
      <c r="P5">
        <f t="shared" si="0"/>
        <v>2</v>
      </c>
      <c r="Q5" t="b">
        <f t="shared" si="1"/>
        <v>1</v>
      </c>
      <c r="R5" t="s">
        <v>1264</v>
      </c>
      <c r="S5">
        <v>2</v>
      </c>
    </row>
    <row r="6" spans="1:19" x14ac:dyDescent="0.3">
      <c r="B6" t="str">
        <f>$A$1&amp;psegm!A7</f>
        <v>ACAMCC6</v>
      </c>
      <c r="D6" t="str">
        <f>$C$1&amp;psegm!$A7</f>
        <v>AOCMCC6</v>
      </c>
      <c r="F6" t="str">
        <f>$E$1&amp;psegm!$A7</f>
        <v>APCMCC6</v>
      </c>
      <c r="H6" t="str">
        <f>$G$1&amp;psegm!$A7</f>
        <v>APUMCC6</v>
      </c>
      <c r="J6" t="str">
        <f>$I$1&amp;psegm!$A7</f>
        <v>ARFMCC6</v>
      </c>
      <c r="K6" t="s">
        <v>190</v>
      </c>
      <c r="N6" t="s">
        <v>1263</v>
      </c>
      <c r="O6" t="s">
        <v>1265</v>
      </c>
      <c r="P6">
        <f t="shared" si="0"/>
        <v>2</v>
      </c>
      <c r="Q6" t="b">
        <f t="shared" si="1"/>
        <v>1</v>
      </c>
      <c r="R6" t="s">
        <v>1265</v>
      </c>
      <c r="S6">
        <v>2</v>
      </c>
    </row>
    <row r="7" spans="1:19" x14ac:dyDescent="0.3">
      <c r="B7" t="str">
        <f>$A$1&amp;psegm!A8</f>
        <v>ACAMCC7</v>
      </c>
      <c r="D7" t="str">
        <f>$C$1&amp;psegm!$A8</f>
        <v>AOCMCC7</v>
      </c>
      <c r="F7" t="str">
        <f>$E$1&amp;psegm!$A8</f>
        <v>APCMCC7</v>
      </c>
      <c r="H7" t="str">
        <f>$G$1&amp;psegm!$A8</f>
        <v>APUMCC7</v>
      </c>
      <c r="J7" t="str">
        <f>$I$1&amp;psegm!$A8</f>
        <v>ARFMCC7</v>
      </c>
      <c r="K7" t="s">
        <v>191</v>
      </c>
      <c r="N7" t="s">
        <v>1263</v>
      </c>
      <c r="O7" t="s">
        <v>1266</v>
      </c>
      <c r="P7">
        <f t="shared" si="0"/>
        <v>2</v>
      </c>
      <c r="Q7" t="b">
        <f t="shared" si="1"/>
        <v>1</v>
      </c>
      <c r="R7" t="s">
        <v>1266</v>
      </c>
      <c r="S7">
        <v>2</v>
      </c>
    </row>
    <row r="8" spans="1:19" x14ac:dyDescent="0.3">
      <c r="B8" t="str">
        <f>$A$1&amp;psegm!A9</f>
        <v>ACAMCC8</v>
      </c>
      <c r="D8" t="str">
        <f>$C$1&amp;psegm!$A9</f>
        <v>AOCMCC8</v>
      </c>
      <c r="F8" t="str">
        <f>$E$1&amp;psegm!$A9</f>
        <v>APCMCC8</v>
      </c>
      <c r="H8" t="str">
        <f>$G$1&amp;psegm!$A9</f>
        <v>APUMCC8</v>
      </c>
      <c r="J8" t="str">
        <f>$I$1&amp;psegm!$A9</f>
        <v>ARFMCC8</v>
      </c>
      <c r="K8" t="s">
        <v>192</v>
      </c>
      <c r="N8" t="s">
        <v>1263</v>
      </c>
      <c r="O8" t="s">
        <v>1267</v>
      </c>
      <c r="P8">
        <f t="shared" si="0"/>
        <v>4</v>
      </c>
      <c r="Q8" t="b">
        <f t="shared" si="1"/>
        <v>1</v>
      </c>
      <c r="R8" t="s">
        <v>1267</v>
      </c>
      <c r="S8">
        <v>4</v>
      </c>
    </row>
    <row r="9" spans="1:19" x14ac:dyDescent="0.3">
      <c r="B9" t="str">
        <f>$A$1&amp;psegm!A10</f>
        <v>ACAMCC9</v>
      </c>
      <c r="D9" t="str">
        <f>$C$1&amp;psegm!$A10</f>
        <v>AOCMCC9</v>
      </c>
      <c r="F9" t="str">
        <f>$E$1&amp;psegm!$A10</f>
        <v>APCMCC9</v>
      </c>
      <c r="H9" t="str">
        <f>$G$1&amp;psegm!$A10</f>
        <v>APUMCC9</v>
      </c>
      <c r="J9" t="str">
        <f>$I$1&amp;psegm!$A10</f>
        <v>ARFMCC9</v>
      </c>
      <c r="K9" t="s">
        <v>193</v>
      </c>
      <c r="O9" t="s">
        <v>1268</v>
      </c>
      <c r="P9">
        <f t="shared" si="0"/>
        <v>2</v>
      </c>
      <c r="Q9" t="b">
        <f t="shared" si="1"/>
        <v>1</v>
      </c>
      <c r="R9" t="s">
        <v>1268</v>
      </c>
      <c r="S9">
        <v>2</v>
      </c>
    </row>
    <row r="10" spans="1:19" x14ac:dyDescent="0.3">
      <c r="B10" t="str">
        <f>$A$1&amp;psegm!A11</f>
        <v>ACAMCD1</v>
      </c>
      <c r="D10" t="str">
        <f>$C$1&amp;psegm!$A11</f>
        <v>AOCMCD1</v>
      </c>
      <c r="F10" t="str">
        <f>$E$1&amp;psegm!$A11</f>
        <v>APCMCD1</v>
      </c>
      <c r="H10" t="str">
        <f>$G$1&amp;psegm!$A11</f>
        <v>APUMCD1</v>
      </c>
      <c r="J10" t="str">
        <f>$I$1&amp;psegm!$A11</f>
        <v>ARFMCD1</v>
      </c>
      <c r="K10" t="s">
        <v>194</v>
      </c>
      <c r="O10" t="s">
        <v>1269</v>
      </c>
      <c r="P10">
        <f t="shared" si="0"/>
        <v>2</v>
      </c>
      <c r="Q10" t="b">
        <f t="shared" si="1"/>
        <v>1</v>
      </c>
      <c r="R10" t="s">
        <v>1269</v>
      </c>
      <c r="S10">
        <v>2</v>
      </c>
    </row>
    <row r="11" spans="1:19" x14ac:dyDescent="0.3">
      <c r="B11" t="str">
        <f>$A$1&amp;psegm!A12</f>
        <v>ACAMCD2</v>
      </c>
      <c r="D11" t="str">
        <f>$C$1&amp;psegm!$A12</f>
        <v>AOCMCD2</v>
      </c>
      <c r="F11" t="str">
        <f>$E$1&amp;psegm!$A12</f>
        <v>APCMCD2</v>
      </c>
      <c r="H11" t="str">
        <f>$G$1&amp;psegm!$A12</f>
        <v>APUMCD2</v>
      </c>
      <c r="J11" t="str">
        <f>$I$1&amp;psegm!$A12</f>
        <v>ARFMCD2</v>
      </c>
      <c r="K11" t="s">
        <v>195</v>
      </c>
      <c r="O11" t="s">
        <v>1270</v>
      </c>
      <c r="P11">
        <f t="shared" si="0"/>
        <v>5</v>
      </c>
      <c r="Q11" t="b">
        <f t="shared" si="1"/>
        <v>1</v>
      </c>
      <c r="R11" t="s">
        <v>1270</v>
      </c>
      <c r="S11">
        <v>5</v>
      </c>
    </row>
    <row r="12" spans="1:19" x14ac:dyDescent="0.3">
      <c r="B12" t="str">
        <f>$A$1&amp;psegm!A13</f>
        <v>ACAMCD3</v>
      </c>
      <c r="D12" t="str">
        <f>$C$1&amp;psegm!$A13</f>
        <v>AOCMCD3</v>
      </c>
      <c r="F12" t="str">
        <f>$E$1&amp;psegm!$A13</f>
        <v>APCMCD3</v>
      </c>
      <c r="H12" t="str">
        <f>$G$1&amp;psegm!$A13</f>
        <v>APUMCD3</v>
      </c>
      <c r="J12" t="str">
        <f>$I$1&amp;psegm!$A13</f>
        <v>ARFMCD3</v>
      </c>
      <c r="K12" t="s">
        <v>196</v>
      </c>
      <c r="Q12" t="b">
        <f t="shared" si="1"/>
        <v>0</v>
      </c>
      <c r="R12" t="s">
        <v>1262</v>
      </c>
      <c r="S12">
        <v>3</v>
      </c>
    </row>
    <row r="13" spans="1:19" x14ac:dyDescent="0.3">
      <c r="B13" t="str">
        <f>$A$1&amp;psegm!A14</f>
        <v>ACAMCD4</v>
      </c>
      <c r="D13" t="str">
        <f>$C$1&amp;psegm!$A14</f>
        <v>AOCMCD4</v>
      </c>
      <c r="F13" t="str">
        <f>$E$1&amp;psegm!$A14</f>
        <v>APCMCD4</v>
      </c>
      <c r="H13" t="str">
        <f>$G$1&amp;psegm!$A14</f>
        <v>APUMCD4</v>
      </c>
      <c r="J13" t="str">
        <f>$I$1&amp;psegm!$A14</f>
        <v>ARFMCD4</v>
      </c>
      <c r="K13" t="s">
        <v>197</v>
      </c>
      <c r="O13" t="s">
        <v>1271</v>
      </c>
      <c r="P13">
        <f>COUNTIF(N:N,O13)</f>
        <v>4</v>
      </c>
      <c r="Q13" t="b">
        <f t="shared" si="1"/>
        <v>1</v>
      </c>
      <c r="R13" t="s">
        <v>1271</v>
      </c>
      <c r="S13">
        <v>4</v>
      </c>
    </row>
    <row r="14" spans="1:19" x14ac:dyDescent="0.3">
      <c r="B14" t="str">
        <f>$A$1&amp;psegm!A15</f>
        <v>ACAMCD5</v>
      </c>
      <c r="D14" t="str">
        <f>$C$1&amp;psegm!$A15</f>
        <v>AOCMCD5</v>
      </c>
      <c r="F14" t="str">
        <f>$E$1&amp;psegm!$A15</f>
        <v>APCMCD5</v>
      </c>
      <c r="H14" t="str">
        <f>$G$1&amp;psegm!$A15</f>
        <v>APUMCD5</v>
      </c>
      <c r="J14" t="str">
        <f>$I$1&amp;psegm!$A15</f>
        <v>ARFMCD5</v>
      </c>
      <c r="K14" t="s">
        <v>198</v>
      </c>
      <c r="N14" t="s">
        <v>1264</v>
      </c>
      <c r="O14" t="s">
        <v>1272</v>
      </c>
      <c r="P14">
        <f>COUNTIF(N:N,O14)</f>
        <v>6</v>
      </c>
      <c r="Q14" t="b">
        <f t="shared" si="1"/>
        <v>1</v>
      </c>
      <c r="R14" t="s">
        <v>1272</v>
      </c>
      <c r="S14">
        <v>6</v>
      </c>
    </row>
    <row r="15" spans="1:19" x14ac:dyDescent="0.3">
      <c r="B15" t="str">
        <f>$A$1&amp;psegm!A16</f>
        <v>ACAMCD6</v>
      </c>
      <c r="D15" t="str">
        <f>$C$1&amp;psegm!$A16</f>
        <v>AOCMCD6</v>
      </c>
      <c r="F15" t="str">
        <f>$E$1&amp;psegm!$A16</f>
        <v>APCMCD6</v>
      </c>
      <c r="H15" t="str">
        <f>$G$1&amp;psegm!$A16</f>
        <v>APUMCD6</v>
      </c>
      <c r="J15" t="str">
        <f>$I$1&amp;psegm!$A16</f>
        <v>ARFMCD6</v>
      </c>
      <c r="K15" t="s">
        <v>199</v>
      </c>
      <c r="N15" t="s">
        <v>1264</v>
      </c>
      <c r="O15" t="s">
        <v>1273</v>
      </c>
      <c r="P15">
        <f>COUNTIF(N:N,O15)</f>
        <v>4</v>
      </c>
      <c r="Q15" t="b">
        <f t="shared" si="1"/>
        <v>1</v>
      </c>
      <c r="R15" t="s">
        <v>1273</v>
      </c>
      <c r="S15">
        <v>4</v>
      </c>
    </row>
    <row r="16" spans="1:19" x14ac:dyDescent="0.3">
      <c r="B16" t="str">
        <f>$A$1&amp;psegm!A17</f>
        <v>ACAMCD7</v>
      </c>
      <c r="D16" t="str">
        <f>$C$1&amp;psegm!$A17</f>
        <v>AOCMCD7</v>
      </c>
      <c r="F16" t="str">
        <f>$E$1&amp;psegm!$A17</f>
        <v>APCMCD7</v>
      </c>
      <c r="H16" t="str">
        <f>$G$1&amp;psegm!$A17</f>
        <v>APUMCD7</v>
      </c>
      <c r="J16" t="str">
        <f>$I$1&amp;psegm!$A17</f>
        <v>ARFMCD7</v>
      </c>
      <c r="K16" t="s">
        <v>200</v>
      </c>
      <c r="O16" t="s">
        <v>1274</v>
      </c>
      <c r="P16">
        <f>COUNTIF(N:N,O16)</f>
        <v>2</v>
      </c>
      <c r="Q16" t="b">
        <f t="shared" si="1"/>
        <v>1</v>
      </c>
      <c r="R16" t="s">
        <v>1274</v>
      </c>
      <c r="S16">
        <v>2</v>
      </c>
    </row>
    <row r="17" spans="2:19" x14ac:dyDescent="0.3">
      <c r="B17" t="str">
        <f>$A$1&amp;psegm!A18</f>
        <v>ACAMCD8</v>
      </c>
      <c r="D17" t="str">
        <f>$C$1&amp;psegm!$A18</f>
        <v>AOCMCD8</v>
      </c>
      <c r="F17" t="str">
        <f>$E$1&amp;psegm!$A18</f>
        <v>APCMCD8</v>
      </c>
      <c r="H17" t="str">
        <f>$G$1&amp;psegm!$A18</f>
        <v>APUMCD8</v>
      </c>
      <c r="J17" t="str">
        <f>$I$1&amp;psegm!$A18</f>
        <v>ARFMCD8</v>
      </c>
      <c r="K17" t="s">
        <v>201</v>
      </c>
      <c r="N17" t="s">
        <v>1265</v>
      </c>
      <c r="O17" t="s">
        <v>1275</v>
      </c>
      <c r="P17">
        <f>COUNTIF(N:N,O17)</f>
        <v>1</v>
      </c>
      <c r="Q17" t="b">
        <f t="shared" si="1"/>
        <v>1</v>
      </c>
      <c r="R17" t="s">
        <v>1275</v>
      </c>
      <c r="S17">
        <v>1</v>
      </c>
    </row>
    <row r="18" spans="2:19" x14ac:dyDescent="0.3">
      <c r="B18" t="str">
        <f>$A$1&amp;psegm!A19</f>
        <v>ACAMCD9</v>
      </c>
      <c r="D18" t="str">
        <f>$C$1&amp;psegm!$A19</f>
        <v>AOCMCD9</v>
      </c>
      <c r="F18" t="str">
        <f>$E$1&amp;psegm!$A19</f>
        <v>APCMCD9</v>
      </c>
      <c r="H18" t="str">
        <f>$G$1&amp;psegm!$A19</f>
        <v>APUMCD9</v>
      </c>
      <c r="J18" t="str">
        <f>$I$1&amp;psegm!$A19</f>
        <v>ARFMCD9</v>
      </c>
      <c r="K18" t="s">
        <v>202</v>
      </c>
      <c r="N18" t="s">
        <v>1266</v>
      </c>
    </row>
    <row r="19" spans="2:19" x14ac:dyDescent="0.3">
      <c r="B19" t="str">
        <f>$A$1&amp;psegm!A20</f>
        <v>ACAMCD10</v>
      </c>
      <c r="D19" t="str">
        <f>$C$1&amp;psegm!$A20</f>
        <v>AOCMCD10</v>
      </c>
      <c r="F19" t="str">
        <f>$E$1&amp;psegm!$A20</f>
        <v>APCMCD10</v>
      </c>
      <c r="H19" t="str">
        <f>$G$1&amp;psegm!$A20</f>
        <v>APUMCD10</v>
      </c>
      <c r="J19" t="str">
        <f>$I$1&amp;psegm!$A20</f>
        <v>ARFMCD10</v>
      </c>
      <c r="K19" t="s">
        <v>203</v>
      </c>
      <c r="N19" t="s">
        <v>1267</v>
      </c>
    </row>
    <row r="20" spans="2:19" x14ac:dyDescent="0.3">
      <c r="B20" t="str">
        <f>$A$1&amp;psegm!A21</f>
        <v>ACAVIC1</v>
      </c>
      <c r="D20" t="str">
        <f>$C$1&amp;psegm!$A21</f>
        <v>AOCVIC1</v>
      </c>
      <c r="F20" t="str">
        <f>$E$1&amp;psegm!$A21</f>
        <v>APCVIC1</v>
      </c>
      <c r="H20" t="str">
        <f>$G$1&amp;psegm!$A21</f>
        <v>APUVIC1</v>
      </c>
      <c r="J20" t="str">
        <f>$I$1&amp;psegm!$A21</f>
        <v>ARFVIC1</v>
      </c>
      <c r="K20" t="s">
        <v>204</v>
      </c>
      <c r="N20" t="s">
        <v>1267</v>
      </c>
    </row>
    <row r="21" spans="2:19" x14ac:dyDescent="0.3">
      <c r="B21" t="str">
        <f>$A$1&amp;psegm!A22</f>
        <v>ACAVIC2</v>
      </c>
      <c r="D21" t="str">
        <f>$C$1&amp;psegm!$A22</f>
        <v>AOCVIC2</v>
      </c>
      <c r="F21" t="str">
        <f>$E$1&amp;psegm!$A22</f>
        <v>APCVIC2</v>
      </c>
      <c r="H21" t="str">
        <f>$G$1&amp;psegm!$A22</f>
        <v>APUVIC2</v>
      </c>
      <c r="J21" t="str">
        <f>$I$1&amp;psegm!$A22</f>
        <v>ARFVIC2</v>
      </c>
      <c r="K21" t="s">
        <v>205</v>
      </c>
      <c r="N21" t="s">
        <v>1268</v>
      </c>
    </row>
    <row r="22" spans="2:19" x14ac:dyDescent="0.3">
      <c r="B22" t="str">
        <f>$A$1&amp;psegm!A23</f>
        <v>ACAVIC3</v>
      </c>
      <c r="D22" t="str">
        <f>$C$1&amp;psegm!$A23</f>
        <v>AOCVIC3</v>
      </c>
      <c r="F22" t="str">
        <f>$E$1&amp;psegm!$A23</f>
        <v>APCVIC3</v>
      </c>
      <c r="H22" t="str">
        <f>$G$1&amp;psegm!$A23</f>
        <v>APUVIC3</v>
      </c>
      <c r="J22" t="str">
        <f>$I$1&amp;psegm!$A23</f>
        <v>ARFVIC3</v>
      </c>
      <c r="K22" t="s">
        <v>206</v>
      </c>
      <c r="N22" t="s">
        <v>1269</v>
      </c>
    </row>
    <row r="23" spans="2:19" x14ac:dyDescent="0.3">
      <c r="B23" t="str">
        <f>$A$1&amp;psegm!A24</f>
        <v>ACAVIC4</v>
      </c>
      <c r="D23" t="str">
        <f>$C$1&amp;psegm!$A24</f>
        <v>AOCVIC4</v>
      </c>
      <c r="F23" t="str">
        <f>$E$1&amp;psegm!$A24</f>
        <v>APCVIC4</v>
      </c>
      <c r="H23" t="str">
        <f>$G$1&amp;psegm!$A24</f>
        <v>APUVIC4</v>
      </c>
      <c r="J23" t="str">
        <f>$I$1&amp;psegm!$A24</f>
        <v>ARFVIC4</v>
      </c>
      <c r="K23" t="s">
        <v>207</v>
      </c>
      <c r="N23" t="s">
        <v>1270</v>
      </c>
    </row>
    <row r="24" spans="2:19" x14ac:dyDescent="0.3">
      <c r="B24" t="str">
        <f>$A$1&amp;psegm!A25</f>
        <v>ACAVIC5</v>
      </c>
      <c r="D24" t="str">
        <f>$C$1&amp;psegm!$A25</f>
        <v>AOCVIC5</v>
      </c>
      <c r="F24" t="str">
        <f>$E$1&amp;psegm!$A25</f>
        <v>APCVIC5</v>
      </c>
      <c r="H24" t="str">
        <f>$G$1&amp;psegm!$A25</f>
        <v>APUVIC5</v>
      </c>
      <c r="J24" t="str">
        <f>$I$1&amp;psegm!$A25</f>
        <v>ARFVIC5</v>
      </c>
      <c r="K24" t="s">
        <v>208</v>
      </c>
    </row>
    <row r="25" spans="2:19" x14ac:dyDescent="0.3">
      <c r="B25" t="str">
        <f>$A$1&amp;psegm!A26</f>
        <v>ACAVIC6</v>
      </c>
      <c r="D25" t="str">
        <f>$C$1&amp;psegm!$A26</f>
        <v>AOCVIC6</v>
      </c>
      <c r="F25" t="str">
        <f>$E$1&amp;psegm!$A26</f>
        <v>APCVIC6</v>
      </c>
      <c r="H25" t="str">
        <f>$G$1&amp;psegm!$A26</f>
        <v>APUVIC6</v>
      </c>
      <c r="J25" t="str">
        <f>$I$1&amp;psegm!$A26</f>
        <v>ARFVIC6</v>
      </c>
      <c r="K25" t="s">
        <v>209</v>
      </c>
      <c r="N25" t="s">
        <v>1262</v>
      </c>
    </row>
    <row r="26" spans="2:19" x14ac:dyDescent="0.3">
      <c r="B26" t="str">
        <f>$A$1&amp;psegm!A27</f>
        <v>ACAVIC7</v>
      </c>
      <c r="D26" t="str">
        <f>$C$1&amp;psegm!$A27</f>
        <v>AOCVIC7</v>
      </c>
      <c r="F26" t="str">
        <f>$E$1&amp;psegm!$A27</f>
        <v>APCVIC7</v>
      </c>
      <c r="H26" t="str">
        <f>$G$1&amp;psegm!$A27</f>
        <v>APUVIC7</v>
      </c>
      <c r="J26" t="str">
        <f>$I$1&amp;psegm!$A27</f>
        <v>ARFVIC7</v>
      </c>
      <c r="K26" t="s">
        <v>210</v>
      </c>
      <c r="N26" t="s">
        <v>1270</v>
      </c>
    </row>
    <row r="27" spans="2:19" x14ac:dyDescent="0.3">
      <c r="B27" t="str">
        <f>$A$1&amp;psegm!A28</f>
        <v>ACAVID1</v>
      </c>
      <c r="D27" t="str">
        <f>$C$1&amp;psegm!$A28</f>
        <v>AOCVID1</v>
      </c>
      <c r="F27" t="str">
        <f>$E$1&amp;psegm!$A28</f>
        <v>APCVID1</v>
      </c>
      <c r="H27" t="str">
        <f>$G$1&amp;psegm!$A28</f>
        <v>APUVID1</v>
      </c>
      <c r="J27" t="str">
        <f>$I$1&amp;psegm!$A28</f>
        <v>ARFVID1</v>
      </c>
      <c r="K27" t="s">
        <v>211</v>
      </c>
      <c r="N27" t="s">
        <v>1271</v>
      </c>
    </row>
    <row r="28" spans="2:19" x14ac:dyDescent="0.3">
      <c r="B28" t="str">
        <f>$A$1&amp;psegm!A29</f>
        <v>ACAVID2</v>
      </c>
      <c r="D28" t="str">
        <f>$C$1&amp;psegm!$A29</f>
        <v>AOCVID2</v>
      </c>
      <c r="F28" t="str">
        <f>$E$1&amp;psegm!$A29</f>
        <v>APCVID2</v>
      </c>
      <c r="H28" t="str">
        <f>$G$1&amp;psegm!$A29</f>
        <v>APUVID2</v>
      </c>
      <c r="J28" t="str">
        <f>$I$1&amp;psegm!$A29</f>
        <v>ARFVID2</v>
      </c>
      <c r="K28" t="s">
        <v>212</v>
      </c>
      <c r="N28" t="s">
        <v>1271</v>
      </c>
    </row>
    <row r="29" spans="2:19" x14ac:dyDescent="0.3">
      <c r="B29" t="str">
        <f>$A$1&amp;psegm!A30</f>
        <v>ACAVID3</v>
      </c>
      <c r="D29" t="str">
        <f>$C$1&amp;psegm!$A30</f>
        <v>AOCVID3</v>
      </c>
      <c r="F29" t="str">
        <f>$E$1&amp;psegm!$A30</f>
        <v>APCVID3</v>
      </c>
      <c r="H29" t="str">
        <f>$G$1&amp;psegm!$A30</f>
        <v>APUVID3</v>
      </c>
      <c r="J29" t="str">
        <f>$I$1&amp;psegm!$A30</f>
        <v>ARFVID3</v>
      </c>
      <c r="K29" t="s">
        <v>213</v>
      </c>
      <c r="N29" t="s">
        <v>1263</v>
      </c>
    </row>
    <row r="30" spans="2:19" x14ac:dyDescent="0.3">
      <c r="B30" t="str">
        <f>$A$1&amp;psegm!A31</f>
        <v>ACAVID4</v>
      </c>
      <c r="D30" t="str">
        <f>$C$1&amp;psegm!$A31</f>
        <v>AOCVID4</v>
      </c>
      <c r="F30" t="str">
        <f>$E$1&amp;psegm!$A31</f>
        <v>APCVID4</v>
      </c>
      <c r="H30" t="str">
        <f>$G$1&amp;psegm!$A31</f>
        <v>APUVID4</v>
      </c>
      <c r="J30" t="str">
        <f>$I$1&amp;psegm!$A31</f>
        <v>ARFVID4</v>
      </c>
      <c r="K30" t="s">
        <v>214</v>
      </c>
      <c r="N30" t="s">
        <v>1272</v>
      </c>
    </row>
    <row r="31" spans="2:19" x14ac:dyDescent="0.3">
      <c r="B31" t="str">
        <f>$A$1&amp;psegm!A32</f>
        <v>ACAVID5</v>
      </c>
      <c r="D31" t="str">
        <f>$C$1&amp;psegm!$A32</f>
        <v>AOCVID5</v>
      </c>
      <c r="F31" t="str">
        <f>$E$1&amp;psegm!$A32</f>
        <v>APCVID5</v>
      </c>
      <c r="H31" t="str">
        <f>$G$1&amp;psegm!$A32</f>
        <v>APUVID5</v>
      </c>
      <c r="J31" t="str">
        <f>$I$1&amp;psegm!$A32</f>
        <v>ARFVID5</v>
      </c>
      <c r="K31" t="s">
        <v>215</v>
      </c>
      <c r="N31" t="s">
        <v>1272</v>
      </c>
    </row>
    <row r="32" spans="2:19" x14ac:dyDescent="0.3">
      <c r="B32" t="str">
        <f>$A$1&amp;psegm!A33</f>
        <v>ACAVID6</v>
      </c>
      <c r="D32" t="str">
        <f>$C$1&amp;psegm!$A33</f>
        <v>AOCVID6</v>
      </c>
      <c r="F32" t="str">
        <f>$E$1&amp;psegm!$A33</f>
        <v>APCVID6</v>
      </c>
      <c r="H32" t="str">
        <f>$G$1&amp;psegm!$A33</f>
        <v>APUVID6</v>
      </c>
      <c r="J32" t="str">
        <f>$I$1&amp;psegm!$A33</f>
        <v>ARFVID6</v>
      </c>
      <c r="K32" t="s">
        <v>216</v>
      </c>
      <c r="N32" t="s">
        <v>1273</v>
      </c>
    </row>
    <row r="33" spans="2:14" x14ac:dyDescent="0.3">
      <c r="B33" t="str">
        <f>$A$1&amp;psegm!A34</f>
        <v>ACAALLS</v>
      </c>
      <c r="D33" t="str">
        <f>$C$1&amp;psegm!$A34</f>
        <v>AOCALLS</v>
      </c>
      <c r="F33" t="str">
        <f>$E$1&amp;psegm!$A34</f>
        <v>APCALLS</v>
      </c>
      <c r="H33" t="str">
        <f>$G$1&amp;psegm!$A34</f>
        <v>APUALLS</v>
      </c>
      <c r="J33" t="str">
        <f>$I$1&amp;psegm!$A34</f>
        <v>ARFALLS</v>
      </c>
      <c r="K33" t="s">
        <v>217</v>
      </c>
      <c r="N33" t="s">
        <v>1273</v>
      </c>
    </row>
    <row r="34" spans="2:14" x14ac:dyDescent="0.3">
      <c r="B34" t="str">
        <f>$A$1&amp;psegm!A37</f>
        <v>ACADD</v>
      </c>
      <c r="D34" t="str">
        <f>$C$1&amp;psegm!$A37</f>
        <v>AOCDD</v>
      </c>
      <c r="F34" t="str">
        <f>$E$1&amp;psegm!$A37</f>
        <v>APCDD</v>
      </c>
      <c r="H34" t="str">
        <f>$G$1&amp;psegm!$A37</f>
        <v>APUDD</v>
      </c>
      <c r="J34" t="str">
        <f>$I$1&amp;psegm!$A37</f>
        <v>ARFDD</v>
      </c>
      <c r="K34" t="s">
        <v>218</v>
      </c>
      <c r="N34" t="s">
        <v>1274</v>
      </c>
    </row>
    <row r="35" spans="2:14" x14ac:dyDescent="0.3">
      <c r="B35" t="str">
        <f>$A$1&amp;psegm!A38</f>
        <v>ACADI</v>
      </c>
      <c r="D35" t="str">
        <f>$C$1&amp;psegm!$A38</f>
        <v>AOCDI</v>
      </c>
      <c r="F35" t="str">
        <f>$E$1&amp;psegm!$A38</f>
        <v>APCDI</v>
      </c>
      <c r="H35" t="str">
        <f>$G$1&amp;psegm!$A38</f>
        <v>APUDI</v>
      </c>
      <c r="J35" t="str">
        <f>$I$1&amp;psegm!$A38</f>
        <v>ARFDI</v>
      </c>
      <c r="K35" t="s">
        <v>219</v>
      </c>
      <c r="N35" t="s">
        <v>1272</v>
      </c>
    </row>
    <row r="36" spans="2:14" x14ac:dyDescent="0.3">
      <c r="B36" t="str">
        <f>$A$1&amp;psegm!A39</f>
        <v>ACADUK</v>
      </c>
      <c r="D36" t="str">
        <f>$C$1&amp;psegm!$A39</f>
        <v>AOCDUK</v>
      </c>
      <c r="F36" t="str">
        <f>$E$1&amp;psegm!$A39</f>
        <v>APCDUK</v>
      </c>
      <c r="H36" t="str">
        <f>$G$1&amp;psegm!$A39</f>
        <v>APUDUK</v>
      </c>
      <c r="J36" t="str">
        <f>$I$1&amp;psegm!$A39</f>
        <v>ARFDUK</v>
      </c>
      <c r="K36" t="s">
        <v>220</v>
      </c>
    </row>
    <row r="37" spans="2:14" x14ac:dyDescent="0.3">
      <c r="B37" t="str">
        <f>$A$1&amp;psegm!A40</f>
        <v>ACALASER</v>
      </c>
      <c r="D37" t="str">
        <f>$C$1&amp;psegm!$A40</f>
        <v>AOCLASER</v>
      </c>
      <c r="F37" t="str">
        <f>$E$1&amp;psegm!$A40</f>
        <v>APCLASER</v>
      </c>
      <c r="H37" t="str">
        <f>$G$1&amp;psegm!$A40</f>
        <v>APULASER</v>
      </c>
      <c r="J37" t="str">
        <f>$I$1&amp;psegm!$A40</f>
        <v>ARFLASER</v>
      </c>
      <c r="K37" t="s">
        <v>221</v>
      </c>
    </row>
    <row r="38" spans="2:14" x14ac:dyDescent="0.3">
      <c r="B38" t="str">
        <f>$A$1&amp;psegm!A42</f>
        <v>ACAJCBUK</v>
      </c>
      <c r="D38" t="str">
        <f>$C$1&amp;psegm!$A42</f>
        <v>AOCJCBUK</v>
      </c>
      <c r="F38" t="str">
        <f>$E$1&amp;psegm!$A42</f>
        <v>APCJCBUK</v>
      </c>
      <c r="H38" t="str">
        <f>$G$1&amp;psegm!$A42</f>
        <v>APUJCBUK</v>
      </c>
      <c r="J38" t="str">
        <f>$I$1&amp;psegm!$A42</f>
        <v>ARFJCBUK</v>
      </c>
      <c r="K38" t="s">
        <v>222</v>
      </c>
    </row>
    <row r="39" spans="2:14" x14ac:dyDescent="0.3">
      <c r="B39" t="str">
        <f>$A$1&amp;psegm!A43</f>
        <v>ACAJCBROI</v>
      </c>
      <c r="D39" t="str">
        <f>$C$1&amp;psegm!$A43</f>
        <v>AOCJCBROI</v>
      </c>
      <c r="F39" t="str">
        <f>$E$1&amp;psegm!$A43</f>
        <v>APCJCBROI</v>
      </c>
      <c r="H39" t="str">
        <f>$G$1&amp;psegm!$A43</f>
        <v>APUJCBROI</v>
      </c>
      <c r="J39" t="str">
        <f>$I$1&amp;psegm!$A43</f>
        <v>ARFJCBROI</v>
      </c>
      <c r="K39" t="s">
        <v>223</v>
      </c>
    </row>
    <row r="40" spans="2:14" x14ac:dyDescent="0.3">
      <c r="B40" t="str">
        <f>$A$1&amp;psegm!A44</f>
        <v>ACAJCBI</v>
      </c>
      <c r="D40" t="str">
        <f>$C$1&amp;psegm!$A44</f>
        <v>AOCJCBI</v>
      </c>
      <c r="F40" t="str">
        <f>$E$1&amp;psegm!$A44</f>
        <v>APCJCBI</v>
      </c>
      <c r="H40" t="str">
        <f>$G$1&amp;psegm!$A44</f>
        <v>APUJCBI</v>
      </c>
      <c r="J40" t="str">
        <f>$I$1&amp;psegm!$A44</f>
        <v>ARFJCBI</v>
      </c>
      <c r="K40" t="s">
        <v>224</v>
      </c>
    </row>
    <row r="41" spans="2:14" x14ac:dyDescent="0.3">
      <c r="B41" t="str">
        <f>$A$1&amp;psegm!A45</f>
        <v>ACAKF</v>
      </c>
      <c r="D41" t="str">
        <f>$C$1&amp;psegm!$A45</f>
        <v>AOCKF</v>
      </c>
      <c r="F41" t="str">
        <f>$E$1&amp;psegm!$A45</f>
        <v>APCKF</v>
      </c>
      <c r="H41" t="str">
        <f>$G$1&amp;psegm!$A45</f>
        <v>APUKF</v>
      </c>
      <c r="J41" t="str">
        <f>$I$1&amp;psegm!$A45</f>
        <v>ARFKF</v>
      </c>
      <c r="K41" t="s">
        <v>225</v>
      </c>
    </row>
    <row r="42" spans="2:14" x14ac:dyDescent="0.3">
      <c r="B42" t="str">
        <f>$A$1&amp;psegm!A46</f>
        <v>ACASTARS</v>
      </c>
      <c r="D42" t="str">
        <f>$C$1&amp;psegm!$A46</f>
        <v>AOCSTARS</v>
      </c>
      <c r="F42" t="str">
        <f>$E$1&amp;psegm!$A46</f>
        <v>APCSTARS</v>
      </c>
      <c r="H42" t="str">
        <f>$G$1&amp;psegm!$A46</f>
        <v>APUSTARS</v>
      </c>
      <c r="J42" t="str">
        <f>$I$1&amp;psegm!$A46</f>
        <v>ARFSTARS</v>
      </c>
      <c r="K42" t="s">
        <v>226</v>
      </c>
    </row>
    <row r="43" spans="2:14" x14ac:dyDescent="0.3">
      <c r="B43" t="s">
        <v>758</v>
      </c>
      <c r="D43" t="s">
        <v>759</v>
      </c>
      <c r="F43" t="s">
        <v>760</v>
      </c>
      <c r="H43" t="s">
        <v>166</v>
      </c>
      <c r="J43" t="s">
        <v>761</v>
      </c>
      <c r="K43" t="s">
        <v>761</v>
      </c>
    </row>
    <row r="49" spans="14:14" x14ac:dyDescent="0.3">
      <c r="N49" t="s">
        <v>1265</v>
      </c>
    </row>
    <row r="50" spans="14:14" x14ac:dyDescent="0.3">
      <c r="N50" t="s">
        <v>1266</v>
      </c>
    </row>
    <row r="51" spans="14:14" x14ac:dyDescent="0.3">
      <c r="N51" t="s">
        <v>1267</v>
      </c>
    </row>
    <row r="52" spans="14:14" x14ac:dyDescent="0.3">
      <c r="N52" t="s">
        <v>1267</v>
      </c>
    </row>
    <row r="53" spans="14:14" x14ac:dyDescent="0.3">
      <c r="N53" t="s">
        <v>1268</v>
      </c>
    </row>
    <row r="54" spans="14:14" x14ac:dyDescent="0.3">
      <c r="N54" t="s">
        <v>1269</v>
      </c>
    </row>
    <row r="55" spans="14:14" x14ac:dyDescent="0.3">
      <c r="N55" t="s">
        <v>1270</v>
      </c>
    </row>
    <row r="57" spans="14:14" x14ac:dyDescent="0.3">
      <c r="N57" t="s">
        <v>1262</v>
      </c>
    </row>
    <row r="58" spans="14:14" x14ac:dyDescent="0.3">
      <c r="N58" t="s">
        <v>1270</v>
      </c>
    </row>
    <row r="59" spans="14:14" x14ac:dyDescent="0.3">
      <c r="N59" t="s">
        <v>1271</v>
      </c>
    </row>
    <row r="60" spans="14:14" x14ac:dyDescent="0.3">
      <c r="N60" t="s">
        <v>1271</v>
      </c>
    </row>
    <row r="61" spans="14:14" x14ac:dyDescent="0.3">
      <c r="N61" t="s">
        <v>1263</v>
      </c>
    </row>
    <row r="62" spans="14:14" x14ac:dyDescent="0.3">
      <c r="N62" t="s">
        <v>1272</v>
      </c>
    </row>
    <row r="63" spans="14:14" x14ac:dyDescent="0.3">
      <c r="N63" t="s">
        <v>1272</v>
      </c>
    </row>
    <row r="64" spans="14:14" x14ac:dyDescent="0.3">
      <c r="N64" t="s">
        <v>1273</v>
      </c>
    </row>
    <row r="65" spans="14:14" x14ac:dyDescent="0.3">
      <c r="N65" t="s">
        <v>1273</v>
      </c>
    </row>
    <row r="66" spans="14:14" x14ac:dyDescent="0.3">
      <c r="N66" t="s">
        <v>1274</v>
      </c>
    </row>
    <row r="67" spans="14:14" x14ac:dyDescent="0.3">
      <c r="N67" t="s">
        <v>1272</v>
      </c>
    </row>
    <row r="90" spans="14:14" x14ac:dyDescent="0.3">
      <c r="N90" t="s">
        <v>1270</v>
      </c>
    </row>
    <row r="97" spans="14:14" x14ac:dyDescent="0.3">
      <c r="N97" t="s">
        <v>1263</v>
      </c>
    </row>
    <row r="99" spans="14:14" x14ac:dyDescent="0.3">
      <c r="N99" t="s">
        <v>1263</v>
      </c>
    </row>
    <row r="100" spans="14:14" x14ac:dyDescent="0.3">
      <c r="N100" t="s">
        <v>1263</v>
      </c>
    </row>
    <row r="101" spans="14:14" x14ac:dyDescent="0.3">
      <c r="N101" t="s">
        <v>1263</v>
      </c>
    </row>
    <row r="102" spans="14:14" x14ac:dyDescent="0.3">
      <c r="N102" t="s">
        <v>1275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527B-98B3-4827-AAFE-5189FCA5B89F}">
  <sheetPr codeName="Sheet17" filterMode="1"/>
  <dimension ref="A1:P114"/>
  <sheetViews>
    <sheetView workbookViewId="0">
      <selection activeCell="E3" sqref="E3"/>
    </sheetView>
  </sheetViews>
  <sheetFormatPr defaultRowHeight="14.4" x14ac:dyDescent="0.3"/>
  <cols>
    <col min="1" max="1" width="12.109375" bestFit="1" customWidth="1"/>
    <col min="16" max="16" width="14.6640625" bestFit="1" customWidth="1"/>
  </cols>
  <sheetData>
    <row r="1" spans="1:16" x14ac:dyDescent="0.3">
      <c r="A1" s="9" t="s">
        <v>0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</row>
    <row r="2" spans="1:16" x14ac:dyDescent="0.3">
      <c r="A2" s="9" t="s">
        <v>0</v>
      </c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</row>
    <row r="3" spans="1:16" x14ac:dyDescent="0.3">
      <c r="A3" s="10" t="s">
        <v>1</v>
      </c>
      <c r="B3" s="10" t="s">
        <v>2</v>
      </c>
      <c r="C3" s="10" t="s">
        <v>99</v>
      </c>
      <c r="D3" s="10" t="s">
        <v>100</v>
      </c>
      <c r="E3" s="10" t="s">
        <v>101</v>
      </c>
      <c r="F3" s="10" t="s">
        <v>3</v>
      </c>
      <c r="G3" s="10" t="s">
        <v>102</v>
      </c>
      <c r="H3" s="10" t="s">
        <v>103</v>
      </c>
      <c r="I3" s="10" t="s">
        <v>104</v>
      </c>
      <c r="J3" s="10" t="s">
        <v>741</v>
      </c>
      <c r="K3" s="10" t="s">
        <v>742</v>
      </c>
      <c r="L3" s="10" t="s">
        <v>744</v>
      </c>
      <c r="M3" s="10" t="s">
        <v>745</v>
      </c>
      <c r="N3" s="10" t="s">
        <v>746</v>
      </c>
      <c r="O3" s="10" t="s">
        <v>747</v>
      </c>
      <c r="P3" s="10" t="s">
        <v>750</v>
      </c>
    </row>
    <row r="4" spans="1:16" x14ac:dyDescent="0.3">
      <c r="A4" s="38" t="s">
        <v>1307</v>
      </c>
      <c r="B4" s="38">
        <v>10001</v>
      </c>
      <c r="C4" s="38">
        <v>58</v>
      </c>
      <c r="D4" s="38">
        <v>10</v>
      </c>
      <c r="E4" s="38" t="s">
        <v>130</v>
      </c>
      <c r="F4" s="38" t="s">
        <v>89</v>
      </c>
      <c r="G4" s="38" t="s">
        <v>130</v>
      </c>
      <c r="H4" s="38">
        <v>7</v>
      </c>
      <c r="I4" s="38">
        <v>55</v>
      </c>
      <c r="J4" s="38" t="s">
        <v>540</v>
      </c>
      <c r="K4" s="38"/>
      <c r="L4" s="38" t="s">
        <v>748</v>
      </c>
      <c r="M4" s="38">
        <v>0.75600000000000001</v>
      </c>
      <c r="N4" s="38">
        <v>0.72299999999999998</v>
      </c>
      <c r="O4" s="38" t="s">
        <v>748</v>
      </c>
      <c r="P4" s="65">
        <v>43901.64203703704</v>
      </c>
    </row>
    <row r="5" spans="1:16" x14ac:dyDescent="0.3">
      <c r="A5" s="38" t="s">
        <v>1307</v>
      </c>
      <c r="B5" s="38">
        <v>1000965</v>
      </c>
      <c r="C5" s="38">
        <v>0</v>
      </c>
      <c r="D5" s="38">
        <v>10</v>
      </c>
      <c r="E5" s="38" t="s">
        <v>130</v>
      </c>
      <c r="F5" s="38" t="s">
        <v>53</v>
      </c>
      <c r="G5" s="38" t="s">
        <v>130</v>
      </c>
      <c r="H5" s="38">
        <v>7</v>
      </c>
      <c r="I5" s="38">
        <v>55</v>
      </c>
      <c r="J5" s="38" t="s">
        <v>737</v>
      </c>
      <c r="K5" s="38"/>
      <c r="L5" s="38" t="s">
        <v>748</v>
      </c>
      <c r="M5" s="38">
        <v>0.75600000000000001</v>
      </c>
      <c r="N5" s="38">
        <v>0.72299999999999998</v>
      </c>
      <c r="O5" s="38" t="s">
        <v>748</v>
      </c>
      <c r="P5" s="65">
        <v>43901.686226851853</v>
      </c>
    </row>
    <row r="6" spans="1:16" x14ac:dyDescent="0.3">
      <c r="A6" s="38" t="s">
        <v>1307</v>
      </c>
      <c r="B6" s="38">
        <v>1000966</v>
      </c>
      <c r="C6" s="38">
        <v>2848</v>
      </c>
      <c r="D6" s="38">
        <v>1</v>
      </c>
      <c r="E6" s="38" t="s">
        <v>130</v>
      </c>
      <c r="F6" s="38" t="s">
        <v>53</v>
      </c>
      <c r="G6" s="38" t="s">
        <v>130</v>
      </c>
      <c r="H6" s="38">
        <v>8</v>
      </c>
      <c r="I6" s="38">
        <v>55</v>
      </c>
      <c r="J6" s="38" t="s">
        <v>737</v>
      </c>
      <c r="K6" s="38"/>
      <c r="L6" s="38" t="s">
        <v>748</v>
      </c>
      <c r="M6" s="38">
        <v>0.75600000000000001</v>
      </c>
      <c r="N6" s="38">
        <v>0.72299999999999998</v>
      </c>
      <c r="O6" s="38" t="s">
        <v>748</v>
      </c>
      <c r="P6" s="65">
        <v>43901.687060185184</v>
      </c>
    </row>
    <row r="7" spans="1:16" x14ac:dyDescent="0.3">
      <c r="A7" s="38" t="s">
        <v>1307</v>
      </c>
      <c r="B7" s="38">
        <v>1000967</v>
      </c>
      <c r="C7" s="38">
        <v>256</v>
      </c>
      <c r="D7" s="38">
        <v>1</v>
      </c>
      <c r="E7" s="38" t="s">
        <v>130</v>
      </c>
      <c r="F7" s="38" t="s">
        <v>53</v>
      </c>
      <c r="G7" s="38" t="s">
        <v>129</v>
      </c>
      <c r="H7" s="38">
        <v>2</v>
      </c>
      <c r="I7" s="38">
        <v>66</v>
      </c>
      <c r="J7" s="38" t="s">
        <v>737</v>
      </c>
      <c r="K7" s="38"/>
      <c r="L7" s="38" t="s">
        <v>748</v>
      </c>
      <c r="M7" s="38">
        <v>0.75600000000000001</v>
      </c>
      <c r="N7" s="38">
        <v>0.72299999999999998</v>
      </c>
      <c r="O7" s="38" t="s">
        <v>748</v>
      </c>
      <c r="P7" s="65">
        <v>43901.687488425923</v>
      </c>
    </row>
    <row r="8" spans="1:16" ht="28.8" x14ac:dyDescent="0.3">
      <c r="A8" s="38" t="s">
        <v>1307</v>
      </c>
      <c r="B8" s="38">
        <v>11000967</v>
      </c>
      <c r="C8" s="38">
        <v>256</v>
      </c>
      <c r="D8" s="38">
        <v>1</v>
      </c>
      <c r="E8" s="38" t="s">
        <v>1228</v>
      </c>
      <c r="F8" s="38" t="s">
        <v>53</v>
      </c>
      <c r="G8" s="38" t="s">
        <v>1228</v>
      </c>
      <c r="H8" s="38">
        <v>2</v>
      </c>
      <c r="I8" s="38" t="s">
        <v>1228</v>
      </c>
      <c r="J8" s="38" t="s">
        <v>737</v>
      </c>
      <c r="K8" s="38" t="s">
        <v>743</v>
      </c>
      <c r="L8" s="38" t="s">
        <v>748</v>
      </c>
      <c r="M8" s="38">
        <v>0.75600000000000001</v>
      </c>
      <c r="N8" s="38">
        <v>0.72299999999999998</v>
      </c>
      <c r="O8" s="38" t="s">
        <v>748</v>
      </c>
      <c r="P8" s="65">
        <v>43901.687488425923</v>
      </c>
    </row>
    <row r="9" spans="1:16" x14ac:dyDescent="0.3">
      <c r="A9" s="38" t="s">
        <v>1307</v>
      </c>
      <c r="B9" s="38">
        <v>1000969</v>
      </c>
      <c r="C9" s="38">
        <v>5528</v>
      </c>
      <c r="D9" s="38">
        <v>0</v>
      </c>
      <c r="E9" s="38" t="s">
        <v>129</v>
      </c>
      <c r="F9" s="38" t="s">
        <v>77</v>
      </c>
      <c r="G9" s="38" t="s">
        <v>129</v>
      </c>
      <c r="H9" s="38">
        <v>1</v>
      </c>
      <c r="I9" s="38">
        <v>55</v>
      </c>
      <c r="J9" s="38" t="s">
        <v>735</v>
      </c>
      <c r="K9" s="38"/>
      <c r="L9" s="38" t="s">
        <v>748</v>
      </c>
      <c r="M9" s="38">
        <v>0.75600000000000001</v>
      </c>
      <c r="N9" s="38">
        <v>0.72299999999999998</v>
      </c>
      <c r="O9" s="38" t="s">
        <v>748</v>
      </c>
      <c r="P9" s="65">
        <v>43903.74596064815</v>
      </c>
    </row>
    <row r="10" spans="1:16" ht="28.8" x14ac:dyDescent="0.3">
      <c r="A10" s="38" t="s">
        <v>1307</v>
      </c>
      <c r="B10" s="38">
        <v>11000969</v>
      </c>
      <c r="C10" s="38">
        <v>5528</v>
      </c>
      <c r="D10" s="38">
        <v>0</v>
      </c>
      <c r="E10" s="38" t="s">
        <v>1228</v>
      </c>
      <c r="F10" s="38" t="s">
        <v>77</v>
      </c>
      <c r="G10" s="38" t="s">
        <v>1228</v>
      </c>
      <c r="H10" s="38">
        <v>1</v>
      </c>
      <c r="I10" s="38" t="s">
        <v>1228</v>
      </c>
      <c r="J10" s="38" t="s">
        <v>735</v>
      </c>
      <c r="K10" s="38" t="s">
        <v>743</v>
      </c>
      <c r="L10" s="38" t="s">
        <v>748</v>
      </c>
      <c r="M10" s="38">
        <v>0.75600000000000001</v>
      </c>
      <c r="N10" s="38">
        <v>0.72299999999999998</v>
      </c>
      <c r="O10" s="38" t="s">
        <v>748</v>
      </c>
      <c r="P10" s="65">
        <v>43903.74596064815</v>
      </c>
    </row>
    <row r="11" spans="1:16" x14ac:dyDescent="0.3">
      <c r="A11" s="38" t="s">
        <v>1228</v>
      </c>
      <c r="B11" s="38" t="s">
        <v>1228</v>
      </c>
      <c r="C11" s="38" t="s">
        <v>1228</v>
      </c>
      <c r="D11" s="38" t="s">
        <v>1228</v>
      </c>
      <c r="E11" s="38" t="s">
        <v>1228</v>
      </c>
      <c r="F11" s="38" t="s">
        <v>1228</v>
      </c>
      <c r="G11" s="38" t="s">
        <v>1228</v>
      </c>
      <c r="H11" s="38" t="s">
        <v>1228</v>
      </c>
      <c r="I11" s="38" t="s">
        <v>1228</v>
      </c>
      <c r="J11" s="38" t="s">
        <v>1228</v>
      </c>
      <c r="K11" s="38" t="s">
        <v>1228</v>
      </c>
      <c r="L11" s="38" t="s">
        <v>1228</v>
      </c>
      <c r="M11" s="38" t="s">
        <v>1228</v>
      </c>
      <c r="N11" s="38" t="s">
        <v>1228</v>
      </c>
      <c r="O11" s="38" t="s">
        <v>1228</v>
      </c>
      <c r="P11" s="38" t="s">
        <v>1228</v>
      </c>
    </row>
    <row r="12" spans="1:16" x14ac:dyDescent="0.3">
      <c r="A12" s="59"/>
      <c r="B12" s="59"/>
      <c r="C12" s="59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59"/>
    </row>
    <row r="13" spans="1:16" x14ac:dyDescent="0.3">
      <c r="A13" s="59"/>
      <c r="B13" s="59"/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</row>
    <row r="14" spans="1:16" x14ac:dyDescent="0.3">
      <c r="A14" s="59"/>
      <c r="B14" s="59"/>
      <c r="C14" s="59"/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</row>
    <row r="15" spans="1:16" x14ac:dyDescent="0.3">
      <c r="A15" s="59" t="s">
        <v>765</v>
      </c>
      <c r="B15" s="59">
        <v>10001</v>
      </c>
      <c r="C15" s="59">
        <v>100</v>
      </c>
      <c r="D15" s="59">
        <v>10</v>
      </c>
      <c r="E15" s="59" t="s">
        <v>129</v>
      </c>
      <c r="F15" s="59" t="s">
        <v>71</v>
      </c>
      <c r="G15" s="59" t="s">
        <v>129</v>
      </c>
      <c r="H15" s="59">
        <v>8</v>
      </c>
      <c r="I15" s="59">
        <v>66</v>
      </c>
      <c r="J15" s="59" t="s">
        <v>735</v>
      </c>
      <c r="K15" s="59"/>
      <c r="L15" s="59" t="s">
        <v>748</v>
      </c>
      <c r="M15" s="59">
        <v>0.75600000000000001</v>
      </c>
      <c r="N15" s="59">
        <v>0.72299999999999998</v>
      </c>
      <c r="O15" s="59" t="s">
        <v>748</v>
      </c>
      <c r="P15" s="59">
        <v>43785.869097222225</v>
      </c>
    </row>
    <row r="16" spans="1:16" hidden="1" x14ac:dyDescent="0.3">
      <c r="A16" s="59" t="s">
        <v>765</v>
      </c>
      <c r="B16" s="59">
        <v>100088</v>
      </c>
      <c r="C16" s="59">
        <v>100</v>
      </c>
      <c r="D16" s="59">
        <v>0</v>
      </c>
      <c r="E16" s="59" t="s">
        <v>129</v>
      </c>
      <c r="F16" s="59" t="s">
        <v>76</v>
      </c>
      <c r="G16" s="59" t="s">
        <v>129</v>
      </c>
      <c r="H16" s="59">
        <v>8</v>
      </c>
      <c r="I16" s="59">
        <v>66</v>
      </c>
      <c r="J16" s="59" t="s">
        <v>735</v>
      </c>
      <c r="K16" s="59"/>
      <c r="L16" s="59" t="s">
        <v>748</v>
      </c>
      <c r="M16" s="59">
        <v>0.75600000000000001</v>
      </c>
      <c r="N16" s="59">
        <v>0.72299999999999998</v>
      </c>
      <c r="O16" s="59" t="s">
        <v>748</v>
      </c>
      <c r="P16" s="59">
        <v>43785.869097222225</v>
      </c>
    </row>
    <row r="17" spans="1:16" hidden="1" x14ac:dyDescent="0.3">
      <c r="A17" s="59" t="s">
        <v>765</v>
      </c>
      <c r="B17" s="59">
        <v>100089</v>
      </c>
      <c r="C17" s="59">
        <v>100</v>
      </c>
      <c r="D17" s="59">
        <v>0</v>
      </c>
      <c r="E17" s="59" t="s">
        <v>129</v>
      </c>
      <c r="F17" s="59" t="s">
        <v>76</v>
      </c>
      <c r="G17" s="59" t="s">
        <v>129</v>
      </c>
      <c r="H17" s="59">
        <v>8</v>
      </c>
      <c r="I17" s="59">
        <v>66</v>
      </c>
      <c r="J17" s="59" t="s">
        <v>735</v>
      </c>
      <c r="K17" s="59"/>
      <c r="L17" s="59" t="s">
        <v>748</v>
      </c>
      <c r="M17" s="59">
        <v>0.75600000000000001</v>
      </c>
      <c r="N17" s="59">
        <v>0.72299999999999998</v>
      </c>
      <c r="O17" s="59" t="s">
        <v>748</v>
      </c>
      <c r="P17" s="59">
        <v>43785.869097222225</v>
      </c>
    </row>
    <row r="18" spans="1:16" hidden="1" x14ac:dyDescent="0.3">
      <c r="A18" s="59" t="s">
        <v>765</v>
      </c>
      <c r="B18" s="59">
        <v>100090</v>
      </c>
      <c r="C18" s="59">
        <v>100</v>
      </c>
      <c r="D18" s="59">
        <v>2</v>
      </c>
      <c r="E18" s="59" t="s">
        <v>129</v>
      </c>
      <c r="F18" s="59" t="s">
        <v>76</v>
      </c>
      <c r="G18" s="59" t="s">
        <v>129</v>
      </c>
      <c r="H18" s="59">
        <v>8</v>
      </c>
      <c r="I18" s="59">
        <v>66</v>
      </c>
      <c r="J18" s="59" t="s">
        <v>735</v>
      </c>
      <c r="K18" s="59"/>
      <c r="L18" s="59" t="s">
        <v>748</v>
      </c>
      <c r="M18" s="59">
        <v>0.75600000000000001</v>
      </c>
      <c r="N18" s="59">
        <v>0.72299999999999998</v>
      </c>
      <c r="O18" s="59" t="s">
        <v>748</v>
      </c>
      <c r="P18" s="59">
        <v>43785.869097222225</v>
      </c>
    </row>
    <row r="19" spans="1:16" hidden="1" x14ac:dyDescent="0.3">
      <c r="A19" s="59" t="s">
        <v>765</v>
      </c>
      <c r="B19" s="59">
        <v>100091</v>
      </c>
      <c r="C19" s="59">
        <v>100</v>
      </c>
      <c r="D19" s="59">
        <v>1</v>
      </c>
      <c r="E19" s="59" t="s">
        <v>129</v>
      </c>
      <c r="F19" s="59" t="s">
        <v>77</v>
      </c>
      <c r="G19" s="59" t="s">
        <v>129</v>
      </c>
      <c r="H19" s="59">
        <v>8</v>
      </c>
      <c r="I19" s="59">
        <v>66</v>
      </c>
      <c r="J19" s="59" t="s">
        <v>735</v>
      </c>
      <c r="K19" s="59"/>
      <c r="L19" s="59" t="s">
        <v>748</v>
      </c>
      <c r="M19" s="59">
        <v>0.75600000000000001</v>
      </c>
      <c r="N19" s="59">
        <v>0.72299999999999998</v>
      </c>
      <c r="O19" s="59" t="s">
        <v>748</v>
      </c>
      <c r="P19" s="59">
        <v>43785.869097222225</v>
      </c>
    </row>
    <row r="20" spans="1:16" hidden="1" x14ac:dyDescent="0.3">
      <c r="A20" s="59" t="s">
        <v>765</v>
      </c>
      <c r="B20" s="59">
        <v>100092</v>
      </c>
      <c r="C20" s="59">
        <v>100</v>
      </c>
      <c r="D20" s="59">
        <v>12</v>
      </c>
      <c r="E20" s="59" t="s">
        <v>129</v>
      </c>
      <c r="F20" s="59" t="s">
        <v>83</v>
      </c>
      <c r="G20" s="59" t="s">
        <v>129</v>
      </c>
      <c r="H20" s="59">
        <v>8</v>
      </c>
      <c r="I20" s="59">
        <v>66</v>
      </c>
      <c r="J20" s="59" t="s">
        <v>735</v>
      </c>
      <c r="K20" s="59"/>
      <c r="L20" s="59" t="s">
        <v>748</v>
      </c>
      <c r="M20" s="59">
        <v>0.75600000000000001</v>
      </c>
      <c r="N20" s="59">
        <v>0.72299999999999998</v>
      </c>
      <c r="O20" s="59" t="s">
        <v>748</v>
      </c>
      <c r="P20" s="59">
        <v>43785.869097222225</v>
      </c>
    </row>
    <row r="21" spans="1:16" hidden="1" x14ac:dyDescent="0.3">
      <c r="A21" s="59" t="s">
        <v>765</v>
      </c>
      <c r="B21" s="59">
        <v>100093</v>
      </c>
      <c r="C21" s="59">
        <v>100</v>
      </c>
      <c r="D21" s="59">
        <v>12</v>
      </c>
      <c r="E21" s="59" t="s">
        <v>129</v>
      </c>
      <c r="F21" s="59" t="s">
        <v>83</v>
      </c>
      <c r="G21" s="59" t="s">
        <v>129</v>
      </c>
      <c r="H21" s="59">
        <v>4</v>
      </c>
      <c r="I21" s="59">
        <v>77</v>
      </c>
      <c r="J21" s="59" t="s">
        <v>735</v>
      </c>
      <c r="K21" s="59"/>
      <c r="L21" s="59" t="s">
        <v>748</v>
      </c>
      <c r="M21" s="59">
        <v>0.75600000000000001</v>
      </c>
      <c r="N21" s="59">
        <v>0.72299999999999998</v>
      </c>
      <c r="O21" s="59" t="s">
        <v>748</v>
      </c>
      <c r="P21" s="59">
        <v>43785.869097222225</v>
      </c>
    </row>
    <row r="22" spans="1:16" x14ac:dyDescent="0.3">
      <c r="A22" s="59" t="s">
        <v>765</v>
      </c>
      <c r="B22" s="59">
        <v>100094</v>
      </c>
      <c r="C22" s="59">
        <v>100</v>
      </c>
      <c r="D22" s="59">
        <v>11</v>
      </c>
      <c r="E22" s="59" t="s">
        <v>130</v>
      </c>
      <c r="F22" s="59" t="s">
        <v>53</v>
      </c>
      <c r="G22" s="59" t="s">
        <v>130</v>
      </c>
      <c r="H22" s="59">
        <v>4</v>
      </c>
      <c r="I22" s="59">
        <v>77</v>
      </c>
      <c r="J22" s="59" t="s">
        <v>737</v>
      </c>
      <c r="K22" s="59"/>
      <c r="L22" s="59" t="s">
        <v>748</v>
      </c>
      <c r="M22" s="59">
        <v>0.75600000000000001</v>
      </c>
      <c r="N22" s="59">
        <v>0.72299999999999998</v>
      </c>
      <c r="O22" s="59" t="s">
        <v>748</v>
      </c>
      <c r="P22" s="59">
        <v>43785.869097222225</v>
      </c>
    </row>
    <row r="23" spans="1:16" x14ac:dyDescent="0.3">
      <c r="A23" s="59" t="s">
        <v>765</v>
      </c>
      <c r="B23" s="59">
        <v>100095</v>
      </c>
      <c r="C23" s="59">
        <v>100</v>
      </c>
      <c r="D23" s="59">
        <v>2</v>
      </c>
      <c r="E23" s="59" t="s">
        <v>130</v>
      </c>
      <c r="F23" s="59" t="s">
        <v>89</v>
      </c>
      <c r="G23" s="59" t="s">
        <v>130</v>
      </c>
      <c r="H23" s="59">
        <v>4</v>
      </c>
      <c r="I23" s="59">
        <v>55</v>
      </c>
      <c r="J23" s="59" t="s">
        <v>540</v>
      </c>
      <c r="K23" s="59"/>
      <c r="L23" s="59" t="s">
        <v>748</v>
      </c>
      <c r="M23" s="59">
        <v>0.75600000000000001</v>
      </c>
      <c r="N23" s="59">
        <v>0.72299999999999998</v>
      </c>
      <c r="O23" s="59" t="s">
        <v>748</v>
      </c>
      <c r="P23" s="59">
        <v>43785.869097222225</v>
      </c>
    </row>
    <row r="24" spans="1:16" x14ac:dyDescent="0.3">
      <c r="A24" s="59" t="s">
        <v>765</v>
      </c>
      <c r="B24" s="59">
        <v>100096</v>
      </c>
      <c r="C24" s="59">
        <v>100</v>
      </c>
      <c r="D24" s="59">
        <v>2</v>
      </c>
      <c r="E24" s="59" t="s">
        <v>130</v>
      </c>
      <c r="F24" s="59" t="s">
        <v>89</v>
      </c>
      <c r="G24" s="59" t="s">
        <v>130</v>
      </c>
      <c r="H24" s="59">
        <v>4</v>
      </c>
      <c r="I24" s="59">
        <v>55</v>
      </c>
      <c r="J24" s="59" t="s">
        <v>540</v>
      </c>
      <c r="K24" s="59"/>
      <c r="L24" s="59" t="s">
        <v>748</v>
      </c>
      <c r="M24" s="59">
        <v>0.75600000000000001</v>
      </c>
      <c r="N24" s="59">
        <v>0.72299999999999998</v>
      </c>
      <c r="O24" s="59" t="s">
        <v>748</v>
      </c>
      <c r="P24" s="59">
        <v>43785.869097222225</v>
      </c>
    </row>
    <row r="25" spans="1:16" x14ac:dyDescent="0.3">
      <c r="A25" s="59" t="s">
        <v>765</v>
      </c>
      <c r="B25" s="59">
        <v>100085</v>
      </c>
      <c r="C25" s="59">
        <v>0</v>
      </c>
      <c r="D25" s="59">
        <v>0</v>
      </c>
      <c r="E25" s="59" t="s">
        <v>129</v>
      </c>
      <c r="F25" s="59" t="s">
        <v>83</v>
      </c>
      <c r="G25" s="59" t="s">
        <v>130</v>
      </c>
      <c r="H25" s="59">
        <v>8</v>
      </c>
      <c r="I25" s="59">
        <v>66</v>
      </c>
      <c r="J25" s="59" t="s">
        <v>735</v>
      </c>
      <c r="K25" s="59"/>
      <c r="L25" s="59" t="s">
        <v>748</v>
      </c>
      <c r="M25" s="59">
        <v>0.75600000000000001</v>
      </c>
      <c r="N25" s="59">
        <v>0.72299999999999998</v>
      </c>
      <c r="O25" s="59" t="s">
        <v>748</v>
      </c>
      <c r="P25" s="59" t="s">
        <v>751</v>
      </c>
    </row>
    <row r="26" spans="1:16" x14ac:dyDescent="0.3">
      <c r="A26" s="59" t="s">
        <v>765</v>
      </c>
      <c r="B26" s="59">
        <v>100085</v>
      </c>
      <c r="C26" s="59">
        <v>0</v>
      </c>
      <c r="D26" s="59">
        <v>0</v>
      </c>
      <c r="E26" s="59" t="s">
        <v>129</v>
      </c>
      <c r="F26" s="59" t="s">
        <v>83</v>
      </c>
      <c r="G26" s="59" t="s">
        <v>130</v>
      </c>
      <c r="H26" s="59">
        <v>8</v>
      </c>
      <c r="I26" s="59">
        <v>66</v>
      </c>
      <c r="J26" s="59" t="s">
        <v>735</v>
      </c>
      <c r="K26" s="59"/>
      <c r="L26" s="59" t="s">
        <v>748</v>
      </c>
      <c r="M26" s="59">
        <v>0.75600000000000001</v>
      </c>
      <c r="N26" s="59">
        <v>0.72299999999999998</v>
      </c>
      <c r="O26" s="59" t="s">
        <v>748</v>
      </c>
      <c r="P26" s="59" t="s">
        <v>751</v>
      </c>
    </row>
    <row r="27" spans="1:16" x14ac:dyDescent="0.3">
      <c r="A27" s="59" t="s">
        <v>765</v>
      </c>
      <c r="B27" s="59">
        <v>100086</v>
      </c>
      <c r="C27" s="59">
        <v>0</v>
      </c>
      <c r="D27" s="59">
        <v>10</v>
      </c>
      <c r="E27" s="59" t="s">
        <v>130</v>
      </c>
      <c r="F27" s="59" t="s">
        <v>89</v>
      </c>
      <c r="G27" s="59" t="s">
        <v>130</v>
      </c>
      <c r="H27" s="59">
        <v>1</v>
      </c>
      <c r="I27" s="59">
        <v>66</v>
      </c>
      <c r="J27" s="59" t="s">
        <v>540</v>
      </c>
      <c r="K27" s="59"/>
      <c r="L27" s="59" t="s">
        <v>748</v>
      </c>
      <c r="M27" s="59">
        <v>0.75600000000000001</v>
      </c>
      <c r="N27" s="59">
        <v>0.72299999999999998</v>
      </c>
      <c r="O27" s="59" t="s">
        <v>748</v>
      </c>
      <c r="P27" s="59">
        <v>43783.74291666667</v>
      </c>
    </row>
    <row r="28" spans="1:16" x14ac:dyDescent="0.3">
      <c r="A28" s="59" t="s">
        <v>765</v>
      </c>
      <c r="B28" s="59">
        <v>100014</v>
      </c>
      <c r="C28" s="59">
        <v>327469.90000000002</v>
      </c>
      <c r="D28" s="59">
        <v>10</v>
      </c>
      <c r="E28" s="59" t="s">
        <v>129</v>
      </c>
      <c r="F28" s="59" t="s">
        <v>69</v>
      </c>
      <c r="G28" s="59" t="s">
        <v>130</v>
      </c>
      <c r="H28" s="59">
        <v>13</v>
      </c>
      <c r="I28" s="59">
        <v>66</v>
      </c>
      <c r="J28" s="59" t="s">
        <v>734</v>
      </c>
      <c r="K28" s="59"/>
      <c r="L28" s="59" t="s">
        <v>748</v>
      </c>
      <c r="M28" s="59">
        <v>1</v>
      </c>
      <c r="N28" s="59">
        <v>1</v>
      </c>
      <c r="O28" s="59" t="s">
        <v>748</v>
      </c>
      <c r="P28" s="59" t="s">
        <v>751</v>
      </c>
    </row>
    <row r="29" spans="1:16" hidden="1" x14ac:dyDescent="0.3">
      <c r="A29" s="59" t="s">
        <v>765</v>
      </c>
      <c r="B29" s="59">
        <v>100015</v>
      </c>
      <c r="C29" s="59">
        <v>353788.5</v>
      </c>
      <c r="D29" s="59">
        <v>0</v>
      </c>
      <c r="E29" s="59" t="s">
        <v>129</v>
      </c>
      <c r="F29" s="59" t="s">
        <v>70</v>
      </c>
      <c r="G29" s="59" t="s">
        <v>129</v>
      </c>
      <c r="H29" s="59">
        <v>7</v>
      </c>
      <c r="I29" s="59">
        <v>55</v>
      </c>
      <c r="J29" s="59" t="s">
        <v>734</v>
      </c>
      <c r="K29" s="59"/>
      <c r="L29" s="59" t="s">
        <v>748</v>
      </c>
      <c r="M29" s="59">
        <v>1</v>
      </c>
      <c r="N29" s="59">
        <v>1</v>
      </c>
      <c r="O29" s="59" t="s">
        <v>748</v>
      </c>
      <c r="P29" s="59" t="s">
        <v>751</v>
      </c>
    </row>
    <row r="30" spans="1:16" x14ac:dyDescent="0.3">
      <c r="A30" s="59" t="s">
        <v>765</v>
      </c>
      <c r="B30" s="59">
        <v>100016</v>
      </c>
      <c r="C30" s="59">
        <v>380107.1</v>
      </c>
      <c r="D30" s="59">
        <v>10</v>
      </c>
      <c r="E30" s="59" t="s">
        <v>129</v>
      </c>
      <c r="F30" s="59" t="s">
        <v>71</v>
      </c>
      <c r="G30" s="59" t="s">
        <v>130</v>
      </c>
      <c r="H30" s="59">
        <v>1</v>
      </c>
      <c r="I30" s="59">
        <v>77</v>
      </c>
      <c r="J30" s="59" t="s">
        <v>734</v>
      </c>
      <c r="K30" s="59"/>
      <c r="L30" s="59" t="s">
        <v>748</v>
      </c>
      <c r="M30" s="59">
        <v>1</v>
      </c>
      <c r="N30" s="59">
        <v>1</v>
      </c>
      <c r="O30" s="59" t="s">
        <v>748</v>
      </c>
      <c r="P30" s="59" t="s">
        <v>751</v>
      </c>
    </row>
    <row r="31" spans="1:16" x14ac:dyDescent="0.3">
      <c r="A31" s="59" t="s">
        <v>765</v>
      </c>
      <c r="B31" s="59">
        <v>100017</v>
      </c>
      <c r="C31" s="59">
        <v>406425.7</v>
      </c>
      <c r="D31" s="59">
        <v>10</v>
      </c>
      <c r="E31" s="59" t="s">
        <v>129</v>
      </c>
      <c r="F31" s="59" t="s">
        <v>72</v>
      </c>
      <c r="G31" s="59" t="s">
        <v>130</v>
      </c>
      <c r="H31" s="59">
        <v>2</v>
      </c>
      <c r="I31" s="59">
        <v>77</v>
      </c>
      <c r="J31" s="59" t="s">
        <v>734</v>
      </c>
      <c r="K31" s="59"/>
      <c r="L31" s="59" t="s">
        <v>748</v>
      </c>
      <c r="M31" s="59">
        <v>1</v>
      </c>
      <c r="N31" s="59">
        <v>1</v>
      </c>
      <c r="O31" s="59" t="s">
        <v>748</v>
      </c>
      <c r="P31" s="59" t="s">
        <v>751</v>
      </c>
    </row>
    <row r="32" spans="1:16" x14ac:dyDescent="0.3">
      <c r="A32" s="59" t="s">
        <v>765</v>
      </c>
      <c r="B32" s="59">
        <v>100018</v>
      </c>
      <c r="C32" s="59">
        <v>432744.3</v>
      </c>
      <c r="D32" s="59">
        <v>0</v>
      </c>
      <c r="E32" s="59" t="s">
        <v>129</v>
      </c>
      <c r="F32" s="59" t="s">
        <v>73</v>
      </c>
      <c r="G32" s="59" t="s">
        <v>130</v>
      </c>
      <c r="H32" s="59">
        <v>3</v>
      </c>
      <c r="I32" s="59">
        <v>66</v>
      </c>
      <c r="J32" s="59" t="s">
        <v>734</v>
      </c>
      <c r="K32" s="59"/>
      <c r="L32" s="59" t="s">
        <v>748</v>
      </c>
      <c r="M32" s="59">
        <v>1</v>
      </c>
      <c r="N32" s="59">
        <v>1</v>
      </c>
      <c r="O32" s="59" t="s">
        <v>748</v>
      </c>
      <c r="P32" s="59" t="s">
        <v>751</v>
      </c>
    </row>
    <row r="33" spans="1:16" hidden="1" x14ac:dyDescent="0.3">
      <c r="A33" s="59" t="s">
        <v>765</v>
      </c>
      <c r="B33" s="59">
        <v>100019</v>
      </c>
      <c r="C33" s="59">
        <v>459062.9</v>
      </c>
      <c r="D33" s="59">
        <v>11</v>
      </c>
      <c r="E33" s="59" t="s">
        <v>129</v>
      </c>
      <c r="F33" s="59" t="s">
        <v>74</v>
      </c>
      <c r="G33" s="59" t="s">
        <v>129</v>
      </c>
      <c r="H33" s="59">
        <v>4</v>
      </c>
      <c r="I33" s="59">
        <v>55</v>
      </c>
      <c r="J33" s="59" t="s">
        <v>734</v>
      </c>
      <c r="K33" s="59"/>
      <c r="L33" s="59" t="s">
        <v>748</v>
      </c>
      <c r="M33" s="59">
        <v>1</v>
      </c>
      <c r="N33" s="59">
        <v>1</v>
      </c>
      <c r="O33" s="59" t="s">
        <v>748</v>
      </c>
      <c r="P33" s="59" t="s">
        <v>751</v>
      </c>
    </row>
    <row r="34" spans="1:16" x14ac:dyDescent="0.3">
      <c r="A34" s="59" t="s">
        <v>765</v>
      </c>
      <c r="B34" s="59">
        <v>100020</v>
      </c>
      <c r="C34" s="59">
        <v>485381.5</v>
      </c>
      <c r="D34" s="59">
        <v>2</v>
      </c>
      <c r="E34" s="59" t="s">
        <v>129</v>
      </c>
      <c r="F34" s="59" t="s">
        <v>75</v>
      </c>
      <c r="G34" s="59" t="s">
        <v>130</v>
      </c>
      <c r="H34" s="59">
        <v>5</v>
      </c>
      <c r="I34" s="59">
        <v>55</v>
      </c>
      <c r="J34" s="59" t="s">
        <v>735</v>
      </c>
      <c r="K34" s="59"/>
      <c r="L34" s="59" t="s">
        <v>748</v>
      </c>
      <c r="M34" s="59">
        <v>1</v>
      </c>
      <c r="N34" s="59">
        <v>1</v>
      </c>
      <c r="O34" s="59" t="s">
        <v>748</v>
      </c>
      <c r="P34" s="59" t="s">
        <v>751</v>
      </c>
    </row>
    <row r="35" spans="1:16" hidden="1" x14ac:dyDescent="0.3">
      <c r="A35" s="59" t="s">
        <v>765</v>
      </c>
      <c r="B35" s="59">
        <v>100021</v>
      </c>
      <c r="C35" s="59">
        <v>511700.1</v>
      </c>
      <c r="D35" s="59">
        <v>12</v>
      </c>
      <c r="E35" s="59" t="s">
        <v>129</v>
      </c>
      <c r="F35" s="59" t="s">
        <v>76</v>
      </c>
      <c r="G35" s="59" t="s">
        <v>129</v>
      </c>
      <c r="H35" s="59">
        <v>6</v>
      </c>
      <c r="I35" s="59">
        <v>77</v>
      </c>
      <c r="J35" s="59" t="s">
        <v>735</v>
      </c>
      <c r="K35" s="59"/>
      <c r="L35" s="59" t="s">
        <v>748</v>
      </c>
      <c r="M35" s="59">
        <v>1</v>
      </c>
      <c r="N35" s="59">
        <v>1</v>
      </c>
      <c r="O35" s="59" t="s">
        <v>748</v>
      </c>
      <c r="P35" s="59" t="s">
        <v>751</v>
      </c>
    </row>
    <row r="36" spans="1:16" x14ac:dyDescent="0.3">
      <c r="A36" s="59" t="s">
        <v>765</v>
      </c>
      <c r="B36" s="59">
        <v>100022</v>
      </c>
      <c r="C36" s="59">
        <v>538018.69999999995</v>
      </c>
      <c r="D36" s="59">
        <v>10</v>
      </c>
      <c r="E36" s="59" t="s">
        <v>129</v>
      </c>
      <c r="F36" s="59" t="s">
        <v>77</v>
      </c>
      <c r="G36" s="59" t="s">
        <v>130</v>
      </c>
      <c r="H36" s="59">
        <v>7</v>
      </c>
      <c r="I36" s="59">
        <v>66</v>
      </c>
      <c r="J36" s="59" t="s">
        <v>735</v>
      </c>
      <c r="K36" s="59"/>
      <c r="L36" s="59" t="s">
        <v>748</v>
      </c>
      <c r="M36" s="59">
        <v>1</v>
      </c>
      <c r="N36" s="59">
        <v>1</v>
      </c>
      <c r="O36" s="59" t="s">
        <v>748</v>
      </c>
      <c r="P36" s="59" t="s">
        <v>751</v>
      </c>
    </row>
    <row r="37" spans="1:16" x14ac:dyDescent="0.3">
      <c r="A37" s="59" t="s">
        <v>765</v>
      </c>
      <c r="B37" s="59">
        <v>100023</v>
      </c>
      <c r="C37" s="59">
        <v>564337.30000000005</v>
      </c>
      <c r="D37" s="59">
        <v>1</v>
      </c>
      <c r="E37" s="59" t="s">
        <v>129</v>
      </c>
      <c r="F37" s="59" t="s">
        <v>78</v>
      </c>
      <c r="G37" s="59" t="s">
        <v>130</v>
      </c>
      <c r="H37" s="59">
        <v>8</v>
      </c>
      <c r="I37" s="59">
        <v>55</v>
      </c>
      <c r="J37" s="59" t="s">
        <v>735</v>
      </c>
      <c r="K37" s="59"/>
      <c r="L37" s="59" t="s">
        <v>748</v>
      </c>
      <c r="M37" s="59">
        <v>1</v>
      </c>
      <c r="N37" s="59">
        <v>1</v>
      </c>
      <c r="O37" s="59" t="s">
        <v>748</v>
      </c>
      <c r="P37" s="59" t="s">
        <v>751</v>
      </c>
    </row>
    <row r="38" spans="1:16" x14ac:dyDescent="0.3">
      <c r="A38" s="59" t="s">
        <v>765</v>
      </c>
      <c r="B38" s="59">
        <v>100024</v>
      </c>
      <c r="C38" s="59">
        <v>590655.9</v>
      </c>
      <c r="D38" s="59">
        <v>0</v>
      </c>
      <c r="E38" s="59" t="s">
        <v>129</v>
      </c>
      <c r="F38" s="59" t="s">
        <v>79</v>
      </c>
      <c r="G38" s="59" t="s">
        <v>130</v>
      </c>
      <c r="H38" s="59">
        <v>9</v>
      </c>
      <c r="I38" s="59">
        <v>77</v>
      </c>
      <c r="J38" s="59" t="s">
        <v>735</v>
      </c>
      <c r="K38" s="59"/>
      <c r="L38" s="59" t="s">
        <v>748</v>
      </c>
      <c r="M38" s="59">
        <v>1</v>
      </c>
      <c r="N38" s="59">
        <v>1</v>
      </c>
      <c r="O38" s="59" t="s">
        <v>748</v>
      </c>
      <c r="P38" s="59" t="s">
        <v>751</v>
      </c>
    </row>
    <row r="39" spans="1:16" hidden="1" x14ac:dyDescent="0.3">
      <c r="A39" s="59" t="s">
        <v>765</v>
      </c>
      <c r="B39" s="59">
        <v>100025</v>
      </c>
      <c r="C39" s="59">
        <v>616974.5</v>
      </c>
      <c r="D39" s="59">
        <v>0</v>
      </c>
      <c r="E39" s="59" t="s">
        <v>129</v>
      </c>
      <c r="F39" s="59" t="s">
        <v>80</v>
      </c>
      <c r="G39" s="59" t="s">
        <v>129</v>
      </c>
      <c r="H39" s="59">
        <v>1</v>
      </c>
      <c r="I39" s="59">
        <v>77</v>
      </c>
      <c r="J39" s="59" t="s">
        <v>735</v>
      </c>
      <c r="K39" s="59"/>
      <c r="L39" s="59" t="s">
        <v>748</v>
      </c>
      <c r="M39" s="59">
        <v>1</v>
      </c>
      <c r="N39" s="59">
        <v>1</v>
      </c>
      <c r="O39" s="59" t="s">
        <v>748</v>
      </c>
      <c r="P39" s="59" t="s">
        <v>751</v>
      </c>
    </row>
    <row r="40" spans="1:16" x14ac:dyDescent="0.3">
      <c r="A40" s="59" t="s">
        <v>765</v>
      </c>
      <c r="B40" s="59">
        <v>100026</v>
      </c>
      <c r="C40" s="59">
        <v>643293.1</v>
      </c>
      <c r="D40" s="59">
        <v>0</v>
      </c>
      <c r="E40" s="59" t="s">
        <v>129</v>
      </c>
      <c r="F40" s="59" t="s">
        <v>81</v>
      </c>
      <c r="G40" s="59" t="s">
        <v>130</v>
      </c>
      <c r="H40" s="59">
        <v>2</v>
      </c>
      <c r="I40" s="59">
        <v>66</v>
      </c>
      <c r="J40" s="59" t="s">
        <v>735</v>
      </c>
      <c r="K40" s="59"/>
      <c r="L40" s="59" t="s">
        <v>748</v>
      </c>
      <c r="M40" s="59">
        <v>1</v>
      </c>
      <c r="N40" s="59">
        <v>1</v>
      </c>
      <c r="O40" s="59" t="s">
        <v>748</v>
      </c>
      <c r="P40" s="59" t="s">
        <v>751</v>
      </c>
    </row>
    <row r="41" spans="1:16" hidden="1" x14ac:dyDescent="0.3">
      <c r="A41" s="59" t="s">
        <v>765</v>
      </c>
      <c r="B41" s="59">
        <v>100027</v>
      </c>
      <c r="C41" s="59">
        <v>669611.69999999995</v>
      </c>
      <c r="D41" s="59">
        <v>0</v>
      </c>
      <c r="E41" s="59" t="s">
        <v>129</v>
      </c>
      <c r="F41" s="59" t="s">
        <v>82</v>
      </c>
      <c r="G41" s="59" t="s">
        <v>129</v>
      </c>
      <c r="H41" s="59">
        <v>3</v>
      </c>
      <c r="I41" s="59">
        <v>55</v>
      </c>
      <c r="J41" s="59" t="s">
        <v>735</v>
      </c>
      <c r="K41" s="59"/>
      <c r="L41" s="59" t="s">
        <v>748</v>
      </c>
      <c r="M41" s="59">
        <v>1</v>
      </c>
      <c r="N41" s="59">
        <v>1</v>
      </c>
      <c r="O41" s="59" t="s">
        <v>748</v>
      </c>
      <c r="P41" s="59" t="s">
        <v>751</v>
      </c>
    </row>
    <row r="42" spans="1:16" x14ac:dyDescent="0.3">
      <c r="A42" s="59" t="s">
        <v>765</v>
      </c>
      <c r="B42" s="59">
        <v>100028</v>
      </c>
      <c r="C42" s="59">
        <v>695930.3</v>
      </c>
      <c r="D42" s="59">
        <v>0</v>
      </c>
      <c r="E42" s="59" t="s">
        <v>129</v>
      </c>
      <c r="F42" s="59" t="s">
        <v>83</v>
      </c>
      <c r="G42" s="59" t="s">
        <v>130</v>
      </c>
      <c r="H42" s="59">
        <v>4</v>
      </c>
      <c r="I42" s="59">
        <v>55</v>
      </c>
      <c r="J42" s="59" t="s">
        <v>735</v>
      </c>
      <c r="K42" s="59"/>
      <c r="L42" s="59" t="s">
        <v>748</v>
      </c>
      <c r="M42" s="59">
        <v>3.5152999999999997E-2</v>
      </c>
      <c r="N42" s="59">
        <v>3.5328999999999999E-2</v>
      </c>
      <c r="O42" s="59" t="s">
        <v>749</v>
      </c>
      <c r="P42" s="59" t="s">
        <v>751</v>
      </c>
    </row>
    <row r="43" spans="1:16" x14ac:dyDescent="0.3">
      <c r="A43" s="59" t="s">
        <v>765</v>
      </c>
      <c r="B43" s="59">
        <v>100029</v>
      </c>
      <c r="C43" s="59">
        <v>722248.9</v>
      </c>
      <c r="D43" s="59">
        <v>0</v>
      </c>
      <c r="E43" s="59" t="s">
        <v>129</v>
      </c>
      <c r="F43" s="59" t="s">
        <v>84</v>
      </c>
      <c r="G43" s="59" t="s">
        <v>130</v>
      </c>
      <c r="H43" s="59">
        <v>5</v>
      </c>
      <c r="I43" s="59">
        <v>77</v>
      </c>
      <c r="J43" s="59" t="s">
        <v>735</v>
      </c>
      <c r="K43" s="59"/>
      <c r="L43" s="59" t="s">
        <v>748</v>
      </c>
      <c r="M43" s="59">
        <v>3.5152999999999997E-2</v>
      </c>
      <c r="N43" s="59">
        <v>3.5328999999999999E-2</v>
      </c>
      <c r="O43" s="59" t="s">
        <v>749</v>
      </c>
      <c r="P43" s="59" t="s">
        <v>751</v>
      </c>
    </row>
    <row r="44" spans="1:16" x14ac:dyDescent="0.3">
      <c r="A44" s="59" t="s">
        <v>765</v>
      </c>
      <c r="B44" s="59">
        <v>100030</v>
      </c>
      <c r="C44" s="59">
        <v>748567.5</v>
      </c>
      <c r="D44" s="59">
        <v>0</v>
      </c>
      <c r="E44" s="59" t="s">
        <v>129</v>
      </c>
      <c r="F44" s="59" t="s">
        <v>85</v>
      </c>
      <c r="G44" s="59" t="s">
        <v>130</v>
      </c>
      <c r="H44" s="59">
        <v>6</v>
      </c>
      <c r="I44" s="59">
        <v>77</v>
      </c>
      <c r="J44" s="59" t="s">
        <v>735</v>
      </c>
      <c r="K44" s="59"/>
      <c r="L44" s="59" t="s">
        <v>748</v>
      </c>
      <c r="M44" s="59">
        <v>3.5152999999999997E-2</v>
      </c>
      <c r="N44" s="59">
        <v>3.5328999999999999E-2</v>
      </c>
      <c r="O44" s="59" t="s">
        <v>749</v>
      </c>
      <c r="P44" s="59" t="s">
        <v>751</v>
      </c>
    </row>
    <row r="45" spans="1:16" hidden="1" x14ac:dyDescent="0.3">
      <c r="A45" s="59" t="s">
        <v>765</v>
      </c>
      <c r="B45" s="59">
        <v>100031</v>
      </c>
      <c r="C45" s="59">
        <v>774886.1</v>
      </c>
      <c r="D45" s="59">
        <v>10</v>
      </c>
      <c r="E45" s="59" t="s">
        <v>129</v>
      </c>
      <c r="F45" s="59" t="s">
        <v>86</v>
      </c>
      <c r="G45" s="59" t="s">
        <v>129</v>
      </c>
      <c r="H45" s="59">
        <v>7</v>
      </c>
      <c r="I45" s="59">
        <v>66</v>
      </c>
      <c r="J45" s="59" t="s">
        <v>735</v>
      </c>
      <c r="K45" s="59"/>
      <c r="L45" s="59" t="s">
        <v>748</v>
      </c>
      <c r="M45" s="59">
        <v>3.5152999999999997E-2</v>
      </c>
      <c r="N45" s="59">
        <v>3.5328999999999999E-2</v>
      </c>
      <c r="O45" s="59" t="s">
        <v>749</v>
      </c>
      <c r="P45" s="59" t="s">
        <v>751</v>
      </c>
    </row>
    <row r="46" spans="1:16" x14ac:dyDescent="0.3">
      <c r="A46" s="59" t="s">
        <v>765</v>
      </c>
      <c r="B46" s="59">
        <v>100032</v>
      </c>
      <c r="C46" s="59">
        <v>801204.7</v>
      </c>
      <c r="D46" s="59">
        <v>0</v>
      </c>
      <c r="E46" s="59" t="s">
        <v>129</v>
      </c>
      <c r="F46" s="59" t="s">
        <v>87</v>
      </c>
      <c r="G46" s="59" t="s">
        <v>130</v>
      </c>
      <c r="H46" s="59">
        <v>8</v>
      </c>
      <c r="I46" s="59">
        <v>55</v>
      </c>
      <c r="J46" s="59" t="s">
        <v>735</v>
      </c>
      <c r="K46" s="59"/>
      <c r="L46" s="59" t="s">
        <v>748</v>
      </c>
      <c r="M46" s="59">
        <v>3.5152999999999997E-2</v>
      </c>
      <c r="N46" s="59">
        <v>3.5328999999999999E-2</v>
      </c>
      <c r="O46" s="59" t="s">
        <v>749</v>
      </c>
      <c r="P46" s="59" t="s">
        <v>751</v>
      </c>
    </row>
    <row r="47" spans="1:16" hidden="1" x14ac:dyDescent="0.3">
      <c r="A47" s="59" t="s">
        <v>765</v>
      </c>
      <c r="B47" s="59">
        <v>100033</v>
      </c>
      <c r="C47" s="59">
        <v>827523.3</v>
      </c>
      <c r="D47" s="59">
        <v>10</v>
      </c>
      <c r="E47" s="59" t="s">
        <v>129</v>
      </c>
      <c r="F47" s="59" t="s">
        <v>88</v>
      </c>
      <c r="G47" s="59" t="s">
        <v>129</v>
      </c>
      <c r="H47" s="59">
        <v>9</v>
      </c>
      <c r="I47" s="59">
        <v>55</v>
      </c>
      <c r="J47" s="59" t="s">
        <v>736</v>
      </c>
      <c r="K47" s="59"/>
      <c r="L47" s="59" t="s">
        <v>748</v>
      </c>
      <c r="M47" s="59">
        <v>3.5152999999999997E-2</v>
      </c>
      <c r="N47" s="59">
        <v>3.5328999999999999E-2</v>
      </c>
      <c r="O47" s="59" t="s">
        <v>749</v>
      </c>
      <c r="P47" s="59" t="s">
        <v>751</v>
      </c>
    </row>
    <row r="48" spans="1:16" x14ac:dyDescent="0.3">
      <c r="A48" s="59" t="s">
        <v>765</v>
      </c>
      <c r="B48" s="59">
        <v>100034</v>
      </c>
      <c r="C48" s="59">
        <v>853841.9</v>
      </c>
      <c r="D48" s="59">
        <v>10</v>
      </c>
      <c r="E48" s="59" t="s">
        <v>130</v>
      </c>
      <c r="F48" s="59" t="s">
        <v>53</v>
      </c>
      <c r="G48" s="59" t="s">
        <v>130</v>
      </c>
      <c r="H48" s="59">
        <v>1</v>
      </c>
      <c r="I48" s="59">
        <v>77</v>
      </c>
      <c r="J48" s="59" t="s">
        <v>737</v>
      </c>
      <c r="K48" s="59"/>
      <c r="L48" s="59" t="s">
        <v>748</v>
      </c>
      <c r="M48" s="59">
        <v>3.5152999999999997E-2</v>
      </c>
      <c r="N48" s="59">
        <v>3.5328999999999999E-2</v>
      </c>
      <c r="O48" s="59" t="s">
        <v>749</v>
      </c>
      <c r="P48" s="59" t="s">
        <v>751</v>
      </c>
    </row>
    <row r="49" spans="1:16" x14ac:dyDescent="0.3">
      <c r="A49" s="59" t="s">
        <v>765</v>
      </c>
      <c r="B49" s="59">
        <v>100035</v>
      </c>
      <c r="C49" s="59">
        <v>880160.5</v>
      </c>
      <c r="D49" s="59">
        <v>0</v>
      </c>
      <c r="E49" s="59" t="s">
        <v>130</v>
      </c>
      <c r="F49" s="59" t="s">
        <v>89</v>
      </c>
      <c r="G49" s="59" t="s">
        <v>130</v>
      </c>
      <c r="H49" s="59">
        <v>2</v>
      </c>
      <c r="I49" s="59">
        <v>66</v>
      </c>
      <c r="J49" s="59" t="s">
        <v>540</v>
      </c>
      <c r="K49" s="59"/>
      <c r="L49" s="59" t="s">
        <v>748</v>
      </c>
      <c r="M49" s="59">
        <v>3.5152999999999997E-2</v>
      </c>
      <c r="N49" s="59">
        <v>3.5328999999999999E-2</v>
      </c>
      <c r="O49" s="59" t="s">
        <v>749</v>
      </c>
      <c r="P49" s="59" t="s">
        <v>751</v>
      </c>
    </row>
    <row r="50" spans="1:16" x14ac:dyDescent="0.3">
      <c r="A50" s="59" t="s">
        <v>765</v>
      </c>
      <c r="B50" s="59">
        <v>100036</v>
      </c>
      <c r="C50" s="59">
        <v>906479.1</v>
      </c>
      <c r="D50" s="59">
        <v>11</v>
      </c>
      <c r="E50" s="59" t="s">
        <v>129</v>
      </c>
      <c r="F50" s="59" t="s">
        <v>90</v>
      </c>
      <c r="G50" s="59" t="s">
        <v>130</v>
      </c>
      <c r="H50" s="59">
        <v>3</v>
      </c>
      <c r="I50" s="59">
        <v>77</v>
      </c>
      <c r="J50" s="59" t="s">
        <v>90</v>
      </c>
      <c r="K50" s="59"/>
      <c r="L50" s="59" t="s">
        <v>748</v>
      </c>
      <c r="M50" s="59">
        <v>3.5152999999999997E-2</v>
      </c>
      <c r="N50" s="59">
        <v>3.5328999999999999E-2</v>
      </c>
      <c r="O50" s="59" t="s">
        <v>749</v>
      </c>
      <c r="P50" s="59" t="s">
        <v>751</v>
      </c>
    </row>
    <row r="51" spans="1:16" hidden="1" x14ac:dyDescent="0.3">
      <c r="A51" s="59" t="s">
        <v>765</v>
      </c>
      <c r="B51" s="59">
        <v>100037</v>
      </c>
      <c r="C51" s="59">
        <v>932797.7</v>
      </c>
      <c r="D51" s="59">
        <v>2</v>
      </c>
      <c r="E51" s="59" t="s">
        <v>129</v>
      </c>
      <c r="F51" s="59" t="s">
        <v>91</v>
      </c>
      <c r="G51" s="59" t="s">
        <v>129</v>
      </c>
      <c r="H51" s="59">
        <v>4</v>
      </c>
      <c r="I51" s="59">
        <v>66</v>
      </c>
      <c r="J51" s="59" t="s">
        <v>91</v>
      </c>
      <c r="K51" s="59"/>
      <c r="L51" s="59" t="s">
        <v>748</v>
      </c>
      <c r="M51" s="59">
        <v>3.5152999999999997E-2</v>
      </c>
      <c r="N51" s="59">
        <v>3.5328999999999999E-2</v>
      </c>
      <c r="O51" s="59" t="s">
        <v>749</v>
      </c>
      <c r="P51" s="59" t="s">
        <v>751</v>
      </c>
    </row>
    <row r="52" spans="1:16" x14ac:dyDescent="0.3">
      <c r="A52" s="59" t="s">
        <v>765</v>
      </c>
      <c r="B52" s="59">
        <v>100038</v>
      </c>
      <c r="C52" s="59">
        <v>959116.3</v>
      </c>
      <c r="D52" s="59">
        <v>12</v>
      </c>
      <c r="E52" s="59" t="s">
        <v>129</v>
      </c>
      <c r="F52" s="59" t="s">
        <v>92</v>
      </c>
      <c r="G52" s="59" t="s">
        <v>130</v>
      </c>
      <c r="H52" s="59">
        <v>5</v>
      </c>
      <c r="I52" s="59">
        <v>55</v>
      </c>
      <c r="J52" s="59" t="s">
        <v>738</v>
      </c>
      <c r="K52" s="59"/>
      <c r="L52" s="59" t="s">
        <v>748</v>
      </c>
      <c r="M52" s="59">
        <v>3.5152999999999997E-2</v>
      </c>
      <c r="N52" s="59">
        <v>3.5328999999999999E-2</v>
      </c>
      <c r="O52" s="59" t="s">
        <v>749</v>
      </c>
      <c r="P52" s="59" t="s">
        <v>751</v>
      </c>
    </row>
    <row r="53" spans="1:16" hidden="1" x14ac:dyDescent="0.3">
      <c r="A53" s="59" t="s">
        <v>765</v>
      </c>
      <c r="B53" s="59">
        <v>100039</v>
      </c>
      <c r="C53" s="59">
        <v>985434.9</v>
      </c>
      <c r="D53" s="59">
        <v>10</v>
      </c>
      <c r="E53" s="59" t="s">
        <v>129</v>
      </c>
      <c r="F53" s="59" t="s">
        <v>93</v>
      </c>
      <c r="G53" s="59" t="s">
        <v>129</v>
      </c>
      <c r="H53" s="59">
        <v>6</v>
      </c>
      <c r="I53" s="59">
        <v>77</v>
      </c>
      <c r="J53" s="59" t="s">
        <v>739</v>
      </c>
      <c r="K53" s="59"/>
      <c r="L53" s="59" t="s">
        <v>748</v>
      </c>
      <c r="M53" s="59">
        <v>3.5152999999999997E-2</v>
      </c>
      <c r="N53" s="59">
        <v>3.5328999999999999E-2</v>
      </c>
      <c r="O53" s="59" t="s">
        <v>749</v>
      </c>
      <c r="P53" s="59" t="s">
        <v>751</v>
      </c>
    </row>
    <row r="54" spans="1:16" x14ac:dyDescent="0.3">
      <c r="A54" s="59" t="s">
        <v>765</v>
      </c>
      <c r="B54" s="59">
        <v>100040</v>
      </c>
      <c r="C54" s="59">
        <v>1011753.5</v>
      </c>
      <c r="D54" s="59">
        <v>1</v>
      </c>
      <c r="E54" s="59" t="s">
        <v>130</v>
      </c>
      <c r="F54" s="59" t="s">
        <v>42</v>
      </c>
      <c r="G54" s="59" t="s">
        <v>130</v>
      </c>
      <c r="H54" s="59">
        <v>7</v>
      </c>
      <c r="I54" s="59">
        <v>77</v>
      </c>
      <c r="J54" s="59" t="s">
        <v>733</v>
      </c>
      <c r="K54" s="59"/>
      <c r="L54" s="59" t="s">
        <v>748</v>
      </c>
      <c r="M54" s="59">
        <v>3.5152999999999997E-2</v>
      </c>
      <c r="N54" s="59">
        <v>3.5328999999999999E-2</v>
      </c>
      <c r="O54" s="59" t="s">
        <v>749</v>
      </c>
      <c r="P54" s="59" t="s">
        <v>751</v>
      </c>
    </row>
    <row r="55" spans="1:16" x14ac:dyDescent="0.3">
      <c r="A55" s="59" t="s">
        <v>765</v>
      </c>
      <c r="B55" s="59">
        <v>100041</v>
      </c>
      <c r="C55" s="59">
        <v>1038072.1</v>
      </c>
      <c r="D55" s="59">
        <v>0</v>
      </c>
      <c r="E55" s="59" t="s">
        <v>129</v>
      </c>
      <c r="F55" s="59" t="s">
        <v>94</v>
      </c>
      <c r="G55" s="59" t="s">
        <v>130</v>
      </c>
      <c r="H55" s="59">
        <v>8</v>
      </c>
      <c r="I55" s="59">
        <v>77</v>
      </c>
      <c r="J55" s="59" t="s">
        <v>733</v>
      </c>
      <c r="K55" s="59"/>
      <c r="L55" s="59" t="s">
        <v>748</v>
      </c>
      <c r="M55" s="59">
        <v>3.5152999999999997E-2</v>
      </c>
      <c r="N55" s="59">
        <v>3.5328999999999999E-2</v>
      </c>
      <c r="O55" s="59" t="s">
        <v>749</v>
      </c>
      <c r="P55" s="59" t="s">
        <v>751</v>
      </c>
    </row>
    <row r="56" spans="1:16" x14ac:dyDescent="0.3">
      <c r="A56" s="59" t="s">
        <v>765</v>
      </c>
      <c r="B56" s="59">
        <v>100042</v>
      </c>
      <c r="C56" s="59">
        <v>1064390.7</v>
      </c>
      <c r="D56" s="59">
        <v>0</v>
      </c>
      <c r="E56" s="59" t="s">
        <v>129</v>
      </c>
      <c r="F56" s="59" t="s">
        <v>95</v>
      </c>
      <c r="G56" s="59" t="s">
        <v>130</v>
      </c>
      <c r="H56" s="59">
        <v>9</v>
      </c>
      <c r="I56" s="59">
        <v>66</v>
      </c>
      <c r="J56" s="59" t="s">
        <v>733</v>
      </c>
      <c r="K56" s="59"/>
      <c r="L56" s="59" t="s">
        <v>748</v>
      </c>
      <c r="M56" s="59">
        <v>3.5152999999999997E-2</v>
      </c>
      <c r="N56" s="59">
        <v>3.5328999999999999E-2</v>
      </c>
      <c r="O56" s="59" t="s">
        <v>749</v>
      </c>
      <c r="P56" s="59" t="s">
        <v>751</v>
      </c>
    </row>
    <row r="57" spans="1:16" hidden="1" x14ac:dyDescent="0.3">
      <c r="A57" s="59" t="s">
        <v>765</v>
      </c>
      <c r="B57" s="59">
        <v>100043</v>
      </c>
      <c r="C57" s="59">
        <v>1090709.3</v>
      </c>
      <c r="D57" s="59">
        <v>0</v>
      </c>
      <c r="E57" s="59" t="s">
        <v>129</v>
      </c>
      <c r="F57" s="59" t="s">
        <v>96</v>
      </c>
      <c r="G57" s="59" t="s">
        <v>129</v>
      </c>
      <c r="H57" s="59">
        <v>10</v>
      </c>
      <c r="I57" s="59">
        <v>55</v>
      </c>
      <c r="J57" s="59" t="s">
        <v>733</v>
      </c>
      <c r="K57" s="59"/>
      <c r="L57" s="59" t="s">
        <v>748</v>
      </c>
      <c r="M57" s="59">
        <v>3.5152999999999997E-2</v>
      </c>
      <c r="N57" s="59">
        <v>3.5328999999999999E-2</v>
      </c>
      <c r="O57" s="59" t="s">
        <v>749</v>
      </c>
      <c r="P57" s="59" t="s">
        <v>751</v>
      </c>
    </row>
    <row r="58" spans="1:16" x14ac:dyDescent="0.3">
      <c r="A58" s="59" t="s">
        <v>765</v>
      </c>
      <c r="B58" s="59">
        <v>100044</v>
      </c>
      <c r="C58" s="59">
        <v>1117027.8999999999</v>
      </c>
      <c r="D58" s="59">
        <v>0</v>
      </c>
      <c r="E58" s="59" t="s">
        <v>129</v>
      </c>
      <c r="F58" s="59" t="s">
        <v>97</v>
      </c>
      <c r="G58" s="59" t="s">
        <v>130</v>
      </c>
      <c r="H58" s="59">
        <v>11</v>
      </c>
      <c r="I58" s="59">
        <v>55</v>
      </c>
      <c r="J58" s="59" t="s">
        <v>97</v>
      </c>
      <c r="K58" s="59"/>
      <c r="L58" s="59" t="s">
        <v>748</v>
      </c>
      <c r="M58" s="59">
        <v>3.5152999999999997E-2</v>
      </c>
      <c r="N58" s="59">
        <v>3.5328999999999999E-2</v>
      </c>
      <c r="O58" s="59" t="s">
        <v>749</v>
      </c>
      <c r="P58" s="59" t="s">
        <v>751</v>
      </c>
    </row>
    <row r="59" spans="1:16" hidden="1" x14ac:dyDescent="0.3">
      <c r="A59" s="59" t="s">
        <v>765</v>
      </c>
      <c r="B59" s="59">
        <v>100045</v>
      </c>
      <c r="C59" s="59">
        <v>1143346.5</v>
      </c>
      <c r="D59" s="59">
        <v>0</v>
      </c>
      <c r="E59" s="59" t="s">
        <v>129</v>
      </c>
      <c r="F59" s="59" t="s">
        <v>98</v>
      </c>
      <c r="G59" s="59" t="s">
        <v>129</v>
      </c>
      <c r="H59" s="59">
        <v>12</v>
      </c>
      <c r="I59" s="59">
        <v>77</v>
      </c>
      <c r="J59" s="59" t="s">
        <v>740</v>
      </c>
      <c r="K59" s="59"/>
      <c r="L59" s="59" t="s">
        <v>748</v>
      </c>
      <c r="M59" s="59">
        <v>3.5152999999999997E-2</v>
      </c>
      <c r="N59" s="59">
        <v>3.5328999999999999E-2</v>
      </c>
      <c r="O59" s="59" t="s">
        <v>749</v>
      </c>
      <c r="P59" s="59" t="s">
        <v>751</v>
      </c>
    </row>
    <row r="60" spans="1:16" x14ac:dyDescent="0.3">
      <c r="A60" s="59" t="s">
        <v>765</v>
      </c>
      <c r="B60" s="59">
        <v>100014</v>
      </c>
      <c r="C60" s="59">
        <v>327469.90000000002</v>
      </c>
      <c r="D60" s="59">
        <v>10</v>
      </c>
      <c r="E60" s="59" t="s">
        <v>129</v>
      </c>
      <c r="F60" s="59" t="s">
        <v>69</v>
      </c>
      <c r="G60" s="59" t="s">
        <v>130</v>
      </c>
      <c r="H60" s="59">
        <v>13</v>
      </c>
      <c r="I60" s="59">
        <v>66</v>
      </c>
      <c r="J60" s="59" t="s">
        <v>734</v>
      </c>
      <c r="K60" s="59"/>
      <c r="L60" s="59" t="s">
        <v>748</v>
      </c>
      <c r="M60" s="59">
        <v>3.5152999999999997E-2</v>
      </c>
      <c r="N60" s="59">
        <v>3.5328999999999999E-2</v>
      </c>
      <c r="O60" s="59" t="s">
        <v>749</v>
      </c>
      <c r="P60" s="59" t="s">
        <v>751</v>
      </c>
    </row>
    <row r="61" spans="1:16" hidden="1" x14ac:dyDescent="0.3">
      <c r="A61" s="59" t="s">
        <v>765</v>
      </c>
      <c r="B61" s="59">
        <v>100015</v>
      </c>
      <c r="C61" s="59">
        <v>353788.5</v>
      </c>
      <c r="D61" s="59">
        <v>0</v>
      </c>
      <c r="E61" s="59" t="s">
        <v>129</v>
      </c>
      <c r="F61" s="59" t="s">
        <v>70</v>
      </c>
      <c r="G61" s="59" t="s">
        <v>129</v>
      </c>
      <c r="H61" s="59">
        <v>7</v>
      </c>
      <c r="I61" s="59">
        <v>55</v>
      </c>
      <c r="J61" s="59" t="s">
        <v>734</v>
      </c>
      <c r="K61" s="59"/>
      <c r="L61" s="59" t="s">
        <v>748</v>
      </c>
      <c r="M61" s="59">
        <v>3.5152999999999997E-2</v>
      </c>
      <c r="N61" s="59">
        <v>3.5328999999999999E-2</v>
      </c>
      <c r="O61" s="59" t="s">
        <v>749</v>
      </c>
      <c r="P61" s="59" t="s">
        <v>751</v>
      </c>
    </row>
    <row r="62" spans="1:16" x14ac:dyDescent="0.3">
      <c r="A62" s="59" t="s">
        <v>765</v>
      </c>
      <c r="B62" s="59">
        <v>100016</v>
      </c>
      <c r="C62" s="59">
        <v>380107.1</v>
      </c>
      <c r="D62" s="59">
        <v>10</v>
      </c>
      <c r="E62" s="59" t="s">
        <v>129</v>
      </c>
      <c r="F62" s="59" t="s">
        <v>71</v>
      </c>
      <c r="G62" s="59" t="s">
        <v>130</v>
      </c>
      <c r="H62" s="59">
        <v>1</v>
      </c>
      <c r="I62" s="59">
        <v>77</v>
      </c>
      <c r="J62" s="59" t="s">
        <v>734</v>
      </c>
      <c r="K62" s="59"/>
      <c r="L62" s="59" t="s">
        <v>748</v>
      </c>
      <c r="M62" s="59">
        <v>3.5152999999999997E-2</v>
      </c>
      <c r="N62" s="59">
        <v>3.5328999999999999E-2</v>
      </c>
      <c r="O62" s="59" t="s">
        <v>749</v>
      </c>
      <c r="P62" s="59" t="s">
        <v>751</v>
      </c>
    </row>
    <row r="63" spans="1:16" x14ac:dyDescent="0.3">
      <c r="A63" s="59" t="s">
        <v>765</v>
      </c>
      <c r="B63" s="59">
        <v>100017</v>
      </c>
      <c r="C63" s="59">
        <v>406425.7</v>
      </c>
      <c r="D63" s="59">
        <v>10</v>
      </c>
      <c r="E63" s="59" t="s">
        <v>129</v>
      </c>
      <c r="F63" s="59" t="s">
        <v>72</v>
      </c>
      <c r="G63" s="59" t="s">
        <v>130</v>
      </c>
      <c r="H63" s="59">
        <v>2</v>
      </c>
      <c r="I63" s="59">
        <v>77</v>
      </c>
      <c r="J63" s="59" t="s">
        <v>734</v>
      </c>
      <c r="K63" s="59"/>
      <c r="L63" s="59" t="s">
        <v>748</v>
      </c>
      <c r="M63" s="59">
        <v>3.5152999999999997E-2</v>
      </c>
      <c r="N63" s="59">
        <v>3.5328999999999999E-2</v>
      </c>
      <c r="O63" s="59" t="s">
        <v>749</v>
      </c>
      <c r="P63" s="59" t="s">
        <v>751</v>
      </c>
    </row>
    <row r="64" spans="1:16" x14ac:dyDescent="0.3">
      <c r="A64" s="59" t="s">
        <v>765</v>
      </c>
      <c r="B64" s="59">
        <v>100018</v>
      </c>
      <c r="C64" s="59">
        <v>432744.3</v>
      </c>
      <c r="D64" s="59">
        <v>0</v>
      </c>
      <c r="E64" s="59" t="s">
        <v>129</v>
      </c>
      <c r="F64" s="59" t="s">
        <v>73</v>
      </c>
      <c r="G64" s="59" t="s">
        <v>130</v>
      </c>
      <c r="H64" s="59">
        <v>3</v>
      </c>
      <c r="I64" s="59">
        <v>66</v>
      </c>
      <c r="J64" s="59" t="s">
        <v>734</v>
      </c>
      <c r="K64" s="59"/>
      <c r="L64" s="59" t="s">
        <v>748</v>
      </c>
      <c r="M64" s="59">
        <v>3.5152999999999997E-2</v>
      </c>
      <c r="N64" s="59">
        <v>3.5328999999999999E-2</v>
      </c>
      <c r="O64" s="59" t="s">
        <v>749</v>
      </c>
      <c r="P64" s="59" t="s">
        <v>751</v>
      </c>
    </row>
    <row r="65" spans="1:16" hidden="1" x14ac:dyDescent="0.3">
      <c r="A65" s="59" t="s">
        <v>765</v>
      </c>
      <c r="B65" s="59">
        <v>100019</v>
      </c>
      <c r="C65" s="59">
        <v>459062.9</v>
      </c>
      <c r="D65" s="59">
        <v>11</v>
      </c>
      <c r="E65" s="59" t="s">
        <v>129</v>
      </c>
      <c r="F65" s="59" t="s">
        <v>74</v>
      </c>
      <c r="G65" s="59" t="s">
        <v>129</v>
      </c>
      <c r="H65" s="59">
        <v>4</v>
      </c>
      <c r="I65" s="59">
        <v>55</v>
      </c>
      <c r="J65" s="59" t="s">
        <v>734</v>
      </c>
      <c r="K65" s="59"/>
      <c r="L65" s="59" t="s">
        <v>748</v>
      </c>
      <c r="M65" s="59">
        <v>3.5152999999999997E-2</v>
      </c>
      <c r="N65" s="59">
        <v>3.5328999999999999E-2</v>
      </c>
      <c r="O65" s="59" t="s">
        <v>749</v>
      </c>
      <c r="P65" s="59" t="s">
        <v>751</v>
      </c>
    </row>
    <row r="66" spans="1:16" x14ac:dyDescent="0.3">
      <c r="A66" s="59" t="s">
        <v>765</v>
      </c>
      <c r="B66" s="59">
        <v>100020</v>
      </c>
      <c r="C66" s="59">
        <v>485381.5</v>
      </c>
      <c r="D66" s="59">
        <v>2</v>
      </c>
      <c r="E66" s="59" t="s">
        <v>129</v>
      </c>
      <c r="F66" s="59" t="s">
        <v>75</v>
      </c>
      <c r="G66" s="59" t="s">
        <v>130</v>
      </c>
      <c r="H66" s="59">
        <v>5</v>
      </c>
      <c r="I66" s="59">
        <v>55</v>
      </c>
      <c r="J66" s="59" t="s">
        <v>735</v>
      </c>
      <c r="K66" s="59"/>
      <c r="L66" s="59" t="s">
        <v>748</v>
      </c>
      <c r="M66" s="59">
        <v>3.5152999999999997E-2</v>
      </c>
      <c r="N66" s="59">
        <v>3.5328999999999999E-2</v>
      </c>
      <c r="O66" s="59" t="s">
        <v>749</v>
      </c>
      <c r="P66" s="59" t="s">
        <v>751</v>
      </c>
    </row>
    <row r="67" spans="1:16" hidden="1" x14ac:dyDescent="0.3">
      <c r="A67" s="59" t="s">
        <v>765</v>
      </c>
      <c r="B67" s="59">
        <v>100021</v>
      </c>
      <c r="C67" s="59">
        <v>511700.1</v>
      </c>
      <c r="D67" s="59">
        <v>12</v>
      </c>
      <c r="E67" s="59" t="s">
        <v>129</v>
      </c>
      <c r="F67" s="59" t="s">
        <v>76</v>
      </c>
      <c r="G67" s="59" t="s">
        <v>129</v>
      </c>
      <c r="H67" s="59">
        <v>6</v>
      </c>
      <c r="I67" s="59">
        <v>77</v>
      </c>
      <c r="J67" s="59" t="s">
        <v>735</v>
      </c>
      <c r="K67" s="59"/>
      <c r="L67" s="59" t="s">
        <v>748</v>
      </c>
      <c r="M67" s="59">
        <v>3.5152999999999997E-2</v>
      </c>
      <c r="N67" s="59">
        <v>3.5328999999999999E-2</v>
      </c>
      <c r="O67" s="59" t="s">
        <v>749</v>
      </c>
      <c r="P67" s="59" t="s">
        <v>751</v>
      </c>
    </row>
    <row r="68" spans="1:16" x14ac:dyDescent="0.3">
      <c r="A68" s="59" t="s">
        <v>765</v>
      </c>
      <c r="B68" s="59">
        <v>100022</v>
      </c>
      <c r="C68" s="59">
        <v>538018.69999999995</v>
      </c>
      <c r="D68" s="59">
        <v>10</v>
      </c>
      <c r="E68" s="59" t="s">
        <v>129</v>
      </c>
      <c r="F68" s="59" t="s">
        <v>77</v>
      </c>
      <c r="G68" s="59" t="s">
        <v>130</v>
      </c>
      <c r="H68" s="59">
        <v>7</v>
      </c>
      <c r="I68" s="59">
        <v>66</v>
      </c>
      <c r="J68" s="59" t="s">
        <v>735</v>
      </c>
      <c r="K68" s="59"/>
      <c r="L68" s="59" t="s">
        <v>748</v>
      </c>
      <c r="M68" s="59">
        <v>3.5152999999999997E-2</v>
      </c>
      <c r="N68" s="59">
        <v>3.5328999999999999E-2</v>
      </c>
      <c r="O68" s="59" t="s">
        <v>749</v>
      </c>
      <c r="P68" s="59" t="s">
        <v>751</v>
      </c>
    </row>
    <row r="69" spans="1:16" x14ac:dyDescent="0.3">
      <c r="A69" s="59" t="s">
        <v>765</v>
      </c>
      <c r="B69" s="59">
        <v>100023</v>
      </c>
      <c r="C69" s="59">
        <v>564337.30000000005</v>
      </c>
      <c r="D69" s="59">
        <v>1</v>
      </c>
      <c r="E69" s="59" t="s">
        <v>129</v>
      </c>
      <c r="F69" s="59" t="s">
        <v>78</v>
      </c>
      <c r="G69" s="59" t="s">
        <v>130</v>
      </c>
      <c r="H69" s="59">
        <v>8</v>
      </c>
      <c r="I69" s="59">
        <v>55</v>
      </c>
      <c r="J69" s="59" t="s">
        <v>735</v>
      </c>
      <c r="K69" s="59"/>
      <c r="L69" s="59" t="s">
        <v>748</v>
      </c>
      <c r="M69" s="59">
        <v>3.5152999999999997E-2</v>
      </c>
      <c r="N69" s="59">
        <v>3.5328999999999999E-2</v>
      </c>
      <c r="O69" s="59" t="s">
        <v>749</v>
      </c>
      <c r="P69" s="59" t="s">
        <v>751</v>
      </c>
    </row>
    <row r="70" spans="1:16" x14ac:dyDescent="0.3">
      <c r="A70" s="59" t="s">
        <v>765</v>
      </c>
      <c r="B70" s="59">
        <v>100024</v>
      </c>
      <c r="C70" s="59">
        <v>590655.9</v>
      </c>
      <c r="D70" s="59">
        <v>0</v>
      </c>
      <c r="E70" s="59" t="s">
        <v>129</v>
      </c>
      <c r="F70" s="59" t="s">
        <v>79</v>
      </c>
      <c r="G70" s="59" t="s">
        <v>130</v>
      </c>
      <c r="H70" s="59">
        <v>9</v>
      </c>
      <c r="I70" s="59">
        <v>77</v>
      </c>
      <c r="J70" s="59" t="s">
        <v>735</v>
      </c>
      <c r="K70" s="59"/>
      <c r="L70" s="59" t="s">
        <v>748</v>
      </c>
      <c r="M70" s="59">
        <v>3.5152999999999997E-2</v>
      </c>
      <c r="N70" s="59">
        <v>3.5328999999999999E-2</v>
      </c>
      <c r="O70" s="59" t="s">
        <v>749</v>
      </c>
      <c r="P70" s="59" t="s">
        <v>751</v>
      </c>
    </row>
    <row r="71" spans="1:16" hidden="1" x14ac:dyDescent="0.3">
      <c r="A71" s="59" t="s">
        <v>765</v>
      </c>
      <c r="B71" s="59">
        <v>100025</v>
      </c>
      <c r="C71" s="59">
        <v>616974.5</v>
      </c>
      <c r="D71" s="59">
        <v>0</v>
      </c>
      <c r="E71" s="59" t="s">
        <v>129</v>
      </c>
      <c r="F71" s="59" t="s">
        <v>80</v>
      </c>
      <c r="G71" s="59" t="s">
        <v>129</v>
      </c>
      <c r="H71" s="59">
        <v>1</v>
      </c>
      <c r="I71" s="59">
        <v>77</v>
      </c>
      <c r="J71" s="59" t="s">
        <v>735</v>
      </c>
      <c r="K71" s="59"/>
      <c r="L71" s="59" t="s">
        <v>748</v>
      </c>
      <c r="M71" s="59">
        <v>3.5152999999999997E-2</v>
      </c>
      <c r="N71" s="59">
        <v>3.5328999999999999E-2</v>
      </c>
      <c r="O71" s="59" t="s">
        <v>749</v>
      </c>
      <c r="P71" s="59" t="s">
        <v>751</v>
      </c>
    </row>
    <row r="72" spans="1:16" x14ac:dyDescent="0.3">
      <c r="A72" s="59" t="s">
        <v>765</v>
      </c>
      <c r="B72" s="59">
        <v>100026</v>
      </c>
      <c r="C72" s="59">
        <v>643293.1</v>
      </c>
      <c r="D72" s="59">
        <v>0</v>
      </c>
      <c r="E72" s="59" t="s">
        <v>129</v>
      </c>
      <c r="F72" s="59" t="s">
        <v>81</v>
      </c>
      <c r="G72" s="59" t="s">
        <v>130</v>
      </c>
      <c r="H72" s="59">
        <v>2</v>
      </c>
      <c r="I72" s="59">
        <v>66</v>
      </c>
      <c r="J72" s="59" t="s">
        <v>735</v>
      </c>
      <c r="K72" s="59"/>
      <c r="L72" s="59" t="s">
        <v>748</v>
      </c>
      <c r="M72" s="59">
        <v>3.5152999999999997E-2</v>
      </c>
      <c r="N72" s="59">
        <v>3.5328999999999999E-2</v>
      </c>
      <c r="O72" s="59" t="s">
        <v>749</v>
      </c>
      <c r="P72" s="59" t="s">
        <v>751</v>
      </c>
    </row>
    <row r="73" spans="1:16" hidden="1" x14ac:dyDescent="0.3">
      <c r="A73" s="59" t="s">
        <v>765</v>
      </c>
      <c r="B73" s="59">
        <v>100027</v>
      </c>
      <c r="C73" s="59">
        <v>669611.69999999995</v>
      </c>
      <c r="D73" s="59">
        <v>0</v>
      </c>
      <c r="E73" s="59" t="s">
        <v>129</v>
      </c>
      <c r="F73" s="59" t="s">
        <v>82</v>
      </c>
      <c r="G73" s="59" t="s">
        <v>129</v>
      </c>
      <c r="H73" s="59">
        <v>3</v>
      </c>
      <c r="I73" s="59">
        <v>55</v>
      </c>
      <c r="J73" s="59" t="s">
        <v>735</v>
      </c>
      <c r="K73" s="59"/>
      <c r="L73" s="59" t="s">
        <v>748</v>
      </c>
      <c r="M73" s="59">
        <v>3.5152999999999997E-2</v>
      </c>
      <c r="N73" s="59">
        <v>3.5328999999999999E-2</v>
      </c>
      <c r="O73" s="59" t="s">
        <v>749</v>
      </c>
      <c r="P73" s="59" t="s">
        <v>751</v>
      </c>
    </row>
    <row r="74" spans="1:16" x14ac:dyDescent="0.3">
      <c r="A74" s="59" t="s">
        <v>765</v>
      </c>
      <c r="B74" s="59">
        <v>100028</v>
      </c>
      <c r="C74" s="59">
        <v>695930.3</v>
      </c>
      <c r="D74" s="59">
        <v>0</v>
      </c>
      <c r="E74" s="59" t="s">
        <v>129</v>
      </c>
      <c r="F74" s="59" t="s">
        <v>83</v>
      </c>
      <c r="G74" s="59" t="s">
        <v>130</v>
      </c>
      <c r="H74" s="59">
        <v>4</v>
      </c>
      <c r="I74" s="59">
        <v>55</v>
      </c>
      <c r="J74" s="59" t="s">
        <v>735</v>
      </c>
      <c r="K74" s="59"/>
      <c r="L74" s="59" t="s">
        <v>748</v>
      </c>
      <c r="M74" s="59">
        <v>3.5152999999999997E-2</v>
      </c>
      <c r="N74" s="59">
        <v>3.5328999999999999E-2</v>
      </c>
      <c r="O74" s="59" t="s">
        <v>749</v>
      </c>
      <c r="P74" s="59" t="s">
        <v>751</v>
      </c>
    </row>
    <row r="75" spans="1:16" x14ac:dyDescent="0.3">
      <c r="A75" s="59" t="s">
        <v>765</v>
      </c>
      <c r="B75" s="59">
        <v>100029</v>
      </c>
      <c r="C75" s="59">
        <v>722248.9</v>
      </c>
      <c r="D75" s="59">
        <v>0</v>
      </c>
      <c r="E75" s="59" t="s">
        <v>129</v>
      </c>
      <c r="F75" s="59" t="s">
        <v>84</v>
      </c>
      <c r="G75" s="59" t="s">
        <v>130</v>
      </c>
      <c r="H75" s="59">
        <v>5</v>
      </c>
      <c r="I75" s="59">
        <v>77</v>
      </c>
      <c r="J75" s="59" t="s">
        <v>735</v>
      </c>
      <c r="K75" s="59"/>
      <c r="L75" s="59" t="s">
        <v>748</v>
      </c>
      <c r="M75" s="59">
        <v>3.5152999999999997E-2</v>
      </c>
      <c r="N75" s="59">
        <v>3.5328999999999999E-2</v>
      </c>
      <c r="O75" s="59" t="s">
        <v>749</v>
      </c>
      <c r="P75" s="59" t="s">
        <v>751</v>
      </c>
    </row>
    <row r="76" spans="1:16" x14ac:dyDescent="0.3">
      <c r="A76" t="s">
        <v>762</v>
      </c>
      <c r="B76" s="59">
        <v>100030</v>
      </c>
      <c r="C76" s="59">
        <v>748567.5</v>
      </c>
      <c r="D76" s="59">
        <v>0</v>
      </c>
      <c r="E76" s="59" t="s">
        <v>129</v>
      </c>
      <c r="F76" s="59" t="s">
        <v>85</v>
      </c>
      <c r="G76" s="59" t="s">
        <v>130</v>
      </c>
      <c r="H76" s="59">
        <v>6</v>
      </c>
      <c r="I76" s="59">
        <v>77</v>
      </c>
      <c r="J76" s="59" t="s">
        <v>735</v>
      </c>
      <c r="K76" s="59"/>
      <c r="L76" s="59" t="s">
        <v>748</v>
      </c>
      <c r="M76" s="59">
        <v>3.5152999999999997E-2</v>
      </c>
      <c r="N76" s="59">
        <v>3.5328999999999999E-2</v>
      </c>
      <c r="O76" s="59" t="s">
        <v>749</v>
      </c>
      <c r="P76" s="59" t="s">
        <v>751</v>
      </c>
    </row>
    <row r="77" spans="1:16" hidden="1" x14ac:dyDescent="0.3">
      <c r="A77" t="s">
        <v>762</v>
      </c>
      <c r="B77" s="59">
        <v>100031</v>
      </c>
      <c r="C77" s="59">
        <v>774886.1</v>
      </c>
      <c r="D77" s="59">
        <v>10</v>
      </c>
      <c r="E77" s="59" t="s">
        <v>129</v>
      </c>
      <c r="F77" s="59" t="s">
        <v>86</v>
      </c>
      <c r="G77" s="59" t="s">
        <v>129</v>
      </c>
      <c r="H77" s="59">
        <v>7</v>
      </c>
      <c r="I77" s="59">
        <v>66</v>
      </c>
      <c r="J77" s="59" t="s">
        <v>735</v>
      </c>
      <c r="K77" s="59"/>
      <c r="L77" s="59" t="s">
        <v>748</v>
      </c>
      <c r="M77" s="59">
        <v>3.5152999999999997E-2</v>
      </c>
      <c r="N77" s="59">
        <v>3.5328999999999999E-2</v>
      </c>
      <c r="O77" s="59" t="s">
        <v>749</v>
      </c>
      <c r="P77" s="59" t="s">
        <v>751</v>
      </c>
    </row>
    <row r="78" spans="1:16" x14ac:dyDescent="0.3">
      <c r="A78" t="s">
        <v>762</v>
      </c>
      <c r="B78" s="59">
        <v>100032</v>
      </c>
      <c r="C78" s="59">
        <v>801204.7</v>
      </c>
      <c r="D78" s="59">
        <v>0</v>
      </c>
      <c r="E78" s="59" t="s">
        <v>129</v>
      </c>
      <c r="F78" s="59" t="s">
        <v>87</v>
      </c>
      <c r="G78" s="59" t="s">
        <v>130</v>
      </c>
      <c r="H78" s="59">
        <v>8</v>
      </c>
      <c r="I78" s="59">
        <v>55</v>
      </c>
      <c r="J78" s="59" t="s">
        <v>735</v>
      </c>
      <c r="K78" s="59"/>
      <c r="L78" s="59" t="s">
        <v>748</v>
      </c>
      <c r="M78" s="59">
        <v>3.5152999999999997E-2</v>
      </c>
      <c r="N78" s="59">
        <v>3.5328999999999999E-2</v>
      </c>
      <c r="O78" s="59" t="s">
        <v>749</v>
      </c>
      <c r="P78" s="59" t="s">
        <v>751</v>
      </c>
    </row>
    <row r="79" spans="1:16" hidden="1" x14ac:dyDescent="0.3">
      <c r="A79" t="s">
        <v>762</v>
      </c>
      <c r="B79" s="59">
        <v>100033</v>
      </c>
      <c r="C79" s="59">
        <v>827523.3</v>
      </c>
      <c r="D79" s="59">
        <v>10</v>
      </c>
      <c r="E79" s="59" t="s">
        <v>129</v>
      </c>
      <c r="F79" s="59" t="s">
        <v>88</v>
      </c>
      <c r="G79" s="59" t="s">
        <v>129</v>
      </c>
      <c r="H79" s="59">
        <v>9</v>
      </c>
      <c r="I79" s="59">
        <v>55</v>
      </c>
      <c r="J79" s="59" t="s">
        <v>736</v>
      </c>
      <c r="K79" s="59"/>
      <c r="L79" s="59" t="s">
        <v>748</v>
      </c>
      <c r="M79" s="59">
        <v>3.5152999999999997E-2</v>
      </c>
      <c r="N79" s="59">
        <v>3.5328999999999999E-2</v>
      </c>
      <c r="O79" s="59" t="s">
        <v>749</v>
      </c>
      <c r="P79" s="59" t="s">
        <v>751</v>
      </c>
    </row>
    <row r="80" spans="1:16" x14ac:dyDescent="0.3">
      <c r="A80" t="s">
        <v>762</v>
      </c>
      <c r="B80" s="59">
        <v>100034</v>
      </c>
      <c r="C80" s="59">
        <v>853841.9</v>
      </c>
      <c r="D80" s="59">
        <v>10</v>
      </c>
      <c r="E80" s="59" t="s">
        <v>130</v>
      </c>
      <c r="F80" s="59" t="s">
        <v>53</v>
      </c>
      <c r="G80" s="59" t="s">
        <v>130</v>
      </c>
      <c r="H80" s="59">
        <v>1</v>
      </c>
      <c r="I80" s="59">
        <v>77</v>
      </c>
      <c r="J80" s="59" t="s">
        <v>737</v>
      </c>
      <c r="K80" s="59"/>
      <c r="L80" s="59" t="s">
        <v>748</v>
      </c>
      <c r="M80" s="59">
        <v>3.5152999999999997E-2</v>
      </c>
      <c r="N80" s="59">
        <v>3.5328999999999999E-2</v>
      </c>
      <c r="O80" s="59" t="s">
        <v>749</v>
      </c>
      <c r="P80" s="59" t="s">
        <v>751</v>
      </c>
    </row>
    <row r="81" spans="1:16" x14ac:dyDescent="0.3">
      <c r="A81" t="s">
        <v>762</v>
      </c>
      <c r="B81" s="59">
        <v>100035</v>
      </c>
      <c r="C81" s="59">
        <v>880160.5</v>
      </c>
      <c r="D81" s="59">
        <v>0</v>
      </c>
      <c r="E81" s="59" t="s">
        <v>130</v>
      </c>
      <c r="F81" s="59" t="s">
        <v>89</v>
      </c>
      <c r="G81" s="59" t="s">
        <v>130</v>
      </c>
      <c r="H81" s="59">
        <v>2</v>
      </c>
      <c r="I81" s="59">
        <v>66</v>
      </c>
      <c r="J81" s="59" t="s">
        <v>540</v>
      </c>
      <c r="K81" s="59"/>
      <c r="L81" s="59" t="s">
        <v>748</v>
      </c>
      <c r="M81" s="59">
        <v>3.5152999999999997E-2</v>
      </c>
      <c r="N81" s="59">
        <v>3.5328999999999999E-2</v>
      </c>
      <c r="O81" s="59" t="s">
        <v>749</v>
      </c>
      <c r="P81" s="59" t="s">
        <v>751</v>
      </c>
    </row>
    <row r="82" spans="1:16" x14ac:dyDescent="0.3">
      <c r="A82" t="s">
        <v>762</v>
      </c>
      <c r="B82" s="59">
        <v>100036</v>
      </c>
      <c r="C82" s="59">
        <v>906479.1</v>
      </c>
      <c r="D82" s="59">
        <v>11</v>
      </c>
      <c r="E82" s="59" t="s">
        <v>129</v>
      </c>
      <c r="F82" s="59" t="s">
        <v>90</v>
      </c>
      <c r="G82" s="59" t="s">
        <v>130</v>
      </c>
      <c r="H82" s="59">
        <v>3</v>
      </c>
      <c r="I82" s="59">
        <v>77</v>
      </c>
      <c r="J82" s="59" t="s">
        <v>90</v>
      </c>
      <c r="K82" s="59"/>
      <c r="L82" s="59" t="s">
        <v>748</v>
      </c>
      <c r="M82" s="59">
        <v>3.5152999999999997E-2</v>
      </c>
      <c r="N82" s="59">
        <v>3.5328999999999999E-2</v>
      </c>
      <c r="O82" s="59" t="s">
        <v>749</v>
      </c>
      <c r="P82" s="59" t="s">
        <v>751</v>
      </c>
    </row>
    <row r="83" spans="1:16" hidden="1" x14ac:dyDescent="0.3">
      <c r="A83" t="s">
        <v>762</v>
      </c>
      <c r="B83" s="59">
        <v>100037</v>
      </c>
      <c r="C83" s="59">
        <v>932797.7</v>
      </c>
      <c r="D83" s="59">
        <v>2</v>
      </c>
      <c r="E83" s="59" t="s">
        <v>129</v>
      </c>
      <c r="F83" s="59" t="s">
        <v>91</v>
      </c>
      <c r="G83" s="59" t="s">
        <v>129</v>
      </c>
      <c r="H83" s="59">
        <v>4</v>
      </c>
      <c r="I83" s="59">
        <v>66</v>
      </c>
      <c r="J83" s="59" t="s">
        <v>91</v>
      </c>
      <c r="K83" s="59"/>
      <c r="L83" s="59" t="s">
        <v>748</v>
      </c>
      <c r="M83" s="59">
        <v>3.5152999999999997E-2</v>
      </c>
      <c r="N83" s="59">
        <v>3.5328999999999999E-2</v>
      </c>
      <c r="O83" s="59" t="s">
        <v>749</v>
      </c>
      <c r="P83" s="59" t="s">
        <v>751</v>
      </c>
    </row>
    <row r="84" spans="1:16" x14ac:dyDescent="0.3">
      <c r="A84" t="s">
        <v>762</v>
      </c>
      <c r="B84" s="59">
        <v>100038</v>
      </c>
      <c r="C84" s="59">
        <v>959116.3</v>
      </c>
      <c r="D84" s="59">
        <v>12</v>
      </c>
      <c r="E84" s="59" t="s">
        <v>129</v>
      </c>
      <c r="F84" s="59" t="s">
        <v>92</v>
      </c>
      <c r="G84" s="59" t="s">
        <v>130</v>
      </c>
      <c r="H84" s="59">
        <v>5</v>
      </c>
      <c r="I84" s="59">
        <v>55</v>
      </c>
      <c r="J84" s="59" t="s">
        <v>738</v>
      </c>
      <c r="K84" s="59"/>
      <c r="L84" s="59" t="s">
        <v>748</v>
      </c>
      <c r="M84" s="59">
        <v>3.5152999999999997E-2</v>
      </c>
      <c r="N84" s="59">
        <v>3.5328999999999999E-2</v>
      </c>
      <c r="O84" s="59" t="s">
        <v>749</v>
      </c>
      <c r="P84" s="59" t="s">
        <v>751</v>
      </c>
    </row>
    <row r="85" spans="1:16" hidden="1" x14ac:dyDescent="0.3">
      <c r="A85" t="s">
        <v>762</v>
      </c>
      <c r="B85" s="59">
        <v>100039</v>
      </c>
      <c r="C85" s="59">
        <v>985434.9</v>
      </c>
      <c r="D85" s="59">
        <v>10</v>
      </c>
      <c r="E85" s="59" t="s">
        <v>129</v>
      </c>
      <c r="F85" s="59" t="s">
        <v>93</v>
      </c>
      <c r="G85" s="59" t="s">
        <v>129</v>
      </c>
      <c r="H85" s="59">
        <v>6</v>
      </c>
      <c r="I85" s="59">
        <v>77</v>
      </c>
      <c r="J85" s="59" t="s">
        <v>739</v>
      </c>
      <c r="K85" s="59"/>
      <c r="L85" s="59" t="s">
        <v>748</v>
      </c>
      <c r="M85" s="59">
        <v>3.5152999999999997E-2</v>
      </c>
      <c r="N85" s="59">
        <v>3.5328999999999999E-2</v>
      </c>
      <c r="O85" s="59" t="s">
        <v>749</v>
      </c>
      <c r="P85" s="59" t="s">
        <v>751</v>
      </c>
    </row>
    <row r="86" spans="1:16" x14ac:dyDescent="0.3">
      <c r="A86" t="s">
        <v>762</v>
      </c>
      <c r="B86" s="59">
        <v>100040</v>
      </c>
      <c r="C86" s="59">
        <v>1011753.5</v>
      </c>
      <c r="D86" s="59">
        <v>1</v>
      </c>
      <c r="E86" s="59" t="s">
        <v>130</v>
      </c>
      <c r="F86" s="59" t="s">
        <v>42</v>
      </c>
      <c r="G86" s="59" t="s">
        <v>130</v>
      </c>
      <c r="H86" s="59">
        <v>7</v>
      </c>
      <c r="I86" s="59">
        <v>77</v>
      </c>
      <c r="J86" s="59" t="s">
        <v>733</v>
      </c>
      <c r="K86" s="59"/>
      <c r="L86" s="59" t="s">
        <v>748</v>
      </c>
      <c r="M86" s="59">
        <v>3.5152999999999997E-2</v>
      </c>
      <c r="N86" s="59">
        <v>3.5328999999999999E-2</v>
      </c>
      <c r="O86" s="59" t="s">
        <v>749</v>
      </c>
      <c r="P86" s="59" t="s">
        <v>751</v>
      </c>
    </row>
    <row r="87" spans="1:16" x14ac:dyDescent="0.3">
      <c r="A87" t="s">
        <v>762</v>
      </c>
      <c r="B87" s="59">
        <v>100041</v>
      </c>
      <c r="C87" s="59">
        <v>1038072.1</v>
      </c>
      <c r="D87" s="59">
        <v>0</v>
      </c>
      <c r="E87" s="59" t="s">
        <v>129</v>
      </c>
      <c r="F87" s="59" t="s">
        <v>94</v>
      </c>
      <c r="G87" s="59" t="s">
        <v>130</v>
      </c>
      <c r="H87" s="59">
        <v>8</v>
      </c>
      <c r="I87" s="59">
        <v>77</v>
      </c>
      <c r="J87" s="59" t="s">
        <v>733</v>
      </c>
      <c r="K87" s="59"/>
      <c r="L87" s="59" t="s">
        <v>748</v>
      </c>
      <c r="M87" s="59">
        <v>3.5152999999999997E-2</v>
      </c>
      <c r="N87" s="59">
        <v>3.5328999999999999E-2</v>
      </c>
      <c r="O87" s="59" t="s">
        <v>749</v>
      </c>
      <c r="P87" s="59" t="s">
        <v>751</v>
      </c>
    </row>
    <row r="88" spans="1:16" x14ac:dyDescent="0.3">
      <c r="A88" t="s">
        <v>762</v>
      </c>
      <c r="B88" s="59">
        <v>100042</v>
      </c>
      <c r="C88" s="59">
        <v>1064390.7</v>
      </c>
      <c r="D88" s="59">
        <v>0</v>
      </c>
      <c r="E88" s="59" t="s">
        <v>129</v>
      </c>
      <c r="F88" s="59" t="s">
        <v>95</v>
      </c>
      <c r="G88" s="59" t="s">
        <v>130</v>
      </c>
      <c r="H88" s="59">
        <v>9</v>
      </c>
      <c r="I88" s="59">
        <v>66</v>
      </c>
      <c r="J88" s="59" t="s">
        <v>733</v>
      </c>
      <c r="K88" s="59"/>
      <c r="L88" s="59" t="s">
        <v>748</v>
      </c>
      <c r="M88" s="59">
        <v>3.5152999999999997E-2</v>
      </c>
      <c r="N88" s="59">
        <v>3.5328999999999999E-2</v>
      </c>
      <c r="O88" s="59" t="s">
        <v>749</v>
      </c>
      <c r="P88" s="59" t="s">
        <v>751</v>
      </c>
    </row>
    <row r="89" spans="1:16" hidden="1" x14ac:dyDescent="0.3">
      <c r="A89" t="s">
        <v>762</v>
      </c>
      <c r="B89" s="59">
        <v>100043</v>
      </c>
      <c r="C89" s="59">
        <v>1090709.3</v>
      </c>
      <c r="D89" s="59">
        <v>0</v>
      </c>
      <c r="E89" s="59" t="s">
        <v>129</v>
      </c>
      <c r="F89" s="59" t="s">
        <v>96</v>
      </c>
      <c r="G89" s="59" t="s">
        <v>129</v>
      </c>
      <c r="H89" s="59">
        <v>10</v>
      </c>
      <c r="I89" s="59">
        <v>55</v>
      </c>
      <c r="J89" s="59" t="s">
        <v>733</v>
      </c>
      <c r="K89" s="59"/>
      <c r="L89" s="59" t="s">
        <v>748</v>
      </c>
      <c r="M89" s="59">
        <v>3.5152999999999997E-2</v>
      </c>
      <c r="N89" s="59">
        <v>3.5328999999999999E-2</v>
      </c>
      <c r="O89" s="59" t="s">
        <v>749</v>
      </c>
      <c r="P89" s="59" t="s">
        <v>751</v>
      </c>
    </row>
    <row r="90" spans="1:16" x14ac:dyDescent="0.3">
      <c r="A90" t="s">
        <v>762</v>
      </c>
      <c r="B90" s="59">
        <v>100044</v>
      </c>
      <c r="C90" s="59">
        <v>1117027.8999999999</v>
      </c>
      <c r="D90" s="59">
        <v>0</v>
      </c>
      <c r="E90" s="59" t="s">
        <v>129</v>
      </c>
      <c r="F90" s="59" t="s">
        <v>97</v>
      </c>
      <c r="G90" s="59" t="s">
        <v>130</v>
      </c>
      <c r="H90" s="59">
        <v>11</v>
      </c>
      <c r="I90" s="59">
        <v>55</v>
      </c>
      <c r="J90" s="59" t="s">
        <v>97</v>
      </c>
      <c r="K90" s="59"/>
      <c r="L90" s="59" t="s">
        <v>748</v>
      </c>
      <c r="M90" s="59">
        <v>3.5152999999999997E-2</v>
      </c>
      <c r="N90" s="59">
        <v>3.5328999999999999E-2</v>
      </c>
      <c r="O90" s="59" t="s">
        <v>749</v>
      </c>
      <c r="P90" s="59" t="s">
        <v>751</v>
      </c>
    </row>
    <row r="91" spans="1:16" hidden="1" x14ac:dyDescent="0.3">
      <c r="A91" t="s">
        <v>762</v>
      </c>
      <c r="B91" s="59">
        <v>100045</v>
      </c>
      <c r="C91" s="59">
        <v>1143346.5</v>
      </c>
      <c r="D91" s="59">
        <v>0</v>
      </c>
      <c r="E91" s="59" t="s">
        <v>129</v>
      </c>
      <c r="F91" s="59" t="s">
        <v>98</v>
      </c>
      <c r="G91" s="59" t="s">
        <v>129</v>
      </c>
      <c r="H91" s="59">
        <v>12</v>
      </c>
      <c r="I91" s="59">
        <v>77</v>
      </c>
      <c r="J91" s="59" t="s">
        <v>740</v>
      </c>
      <c r="K91" s="59"/>
      <c r="L91" s="59" t="s">
        <v>748</v>
      </c>
      <c r="M91" s="59">
        <v>3.5152999999999997E-2</v>
      </c>
      <c r="N91" s="59">
        <v>3.5328999999999999E-2</v>
      </c>
      <c r="O91" s="59" t="s">
        <v>749</v>
      </c>
      <c r="P91" s="59" t="s">
        <v>751</v>
      </c>
    </row>
    <row r="92" spans="1:16" hidden="1" x14ac:dyDescent="0.3">
      <c r="A92" t="s">
        <v>762</v>
      </c>
      <c r="B92" s="59">
        <v>100046</v>
      </c>
      <c r="C92" s="59">
        <v>1169665.1000000001</v>
      </c>
      <c r="D92" s="59"/>
      <c r="E92" s="59"/>
      <c r="F92" s="59"/>
      <c r="G92" s="59"/>
      <c r="H92" s="59">
        <v>7</v>
      </c>
      <c r="I92" s="59"/>
      <c r="J92" s="59" t="s">
        <v>734</v>
      </c>
      <c r="K92" s="59" t="s">
        <v>743</v>
      </c>
      <c r="L92" s="59" t="s">
        <v>748</v>
      </c>
      <c r="M92" s="59">
        <v>3.5152999999999997E-2</v>
      </c>
      <c r="N92" s="59">
        <v>3.5328999999999999E-2</v>
      </c>
      <c r="O92" s="59" t="s">
        <v>749</v>
      </c>
      <c r="P92" s="59" t="s">
        <v>751</v>
      </c>
    </row>
    <row r="93" spans="1:16" hidden="1" x14ac:dyDescent="0.3">
      <c r="A93" t="s">
        <v>762</v>
      </c>
      <c r="B93" s="59">
        <v>100047</v>
      </c>
      <c r="C93" s="59">
        <v>1195983.7</v>
      </c>
      <c r="D93" s="59"/>
      <c r="E93" s="59"/>
      <c r="F93" s="59"/>
      <c r="G93" s="59"/>
      <c r="H93" s="59">
        <v>8</v>
      </c>
      <c r="I93" s="59"/>
      <c r="J93" s="59" t="s">
        <v>735</v>
      </c>
      <c r="K93" s="59" t="s">
        <v>743</v>
      </c>
      <c r="L93" s="59" t="s">
        <v>748</v>
      </c>
      <c r="M93" s="59">
        <v>3.5152999999999997E-2</v>
      </c>
      <c r="N93" s="59">
        <v>3.5328999999999999E-2</v>
      </c>
      <c r="O93" s="59" t="s">
        <v>749</v>
      </c>
      <c r="P93" s="59" t="s">
        <v>751</v>
      </c>
    </row>
    <row r="94" spans="1:16" hidden="1" x14ac:dyDescent="0.3">
      <c r="A94" t="s">
        <v>762</v>
      </c>
      <c r="B94" s="59">
        <v>100048</v>
      </c>
      <c r="C94" s="59">
        <v>1222302.3</v>
      </c>
      <c r="D94" s="59"/>
      <c r="E94" s="59"/>
      <c r="F94" s="59"/>
      <c r="G94" s="59"/>
      <c r="H94" s="59">
        <v>9</v>
      </c>
      <c r="I94" s="59"/>
      <c r="J94" s="59" t="s">
        <v>540</v>
      </c>
      <c r="K94" s="59" t="s">
        <v>743</v>
      </c>
      <c r="L94" s="59" t="s">
        <v>748</v>
      </c>
      <c r="M94" s="59">
        <v>3.5152999999999997E-2</v>
      </c>
      <c r="N94" s="59">
        <v>3.5328999999999999E-2</v>
      </c>
      <c r="O94" s="59" t="s">
        <v>749</v>
      </c>
      <c r="P94" s="59" t="s">
        <v>751</v>
      </c>
    </row>
    <row r="95" spans="1:16" hidden="1" x14ac:dyDescent="0.3">
      <c r="A95" t="s">
        <v>762</v>
      </c>
      <c r="B95" s="59">
        <v>100049</v>
      </c>
      <c r="C95" s="59">
        <v>1248620.8999999999</v>
      </c>
      <c r="D95" s="59"/>
      <c r="E95" s="59"/>
      <c r="F95" s="59"/>
      <c r="G95" s="59"/>
      <c r="H95" s="59">
        <v>10</v>
      </c>
      <c r="I95" s="59"/>
      <c r="J95" s="59" t="s">
        <v>733</v>
      </c>
      <c r="K95" s="59" t="s">
        <v>743</v>
      </c>
      <c r="L95" s="59" t="s">
        <v>748</v>
      </c>
      <c r="M95" s="59">
        <v>3.5152999999999997E-2</v>
      </c>
      <c r="N95" s="59">
        <v>3.5328999999999999E-2</v>
      </c>
      <c r="O95" s="59" t="s">
        <v>749</v>
      </c>
      <c r="P95" s="59" t="s">
        <v>751</v>
      </c>
    </row>
    <row r="96" spans="1:16" x14ac:dyDescent="0.3">
      <c r="A96" t="s">
        <v>762</v>
      </c>
      <c r="B96" s="59">
        <v>100042</v>
      </c>
      <c r="C96" s="59">
        <v>1064390.7</v>
      </c>
      <c r="D96" s="59">
        <v>0</v>
      </c>
      <c r="E96" s="59" t="s">
        <v>129</v>
      </c>
      <c r="F96" s="59" t="s">
        <v>95</v>
      </c>
      <c r="G96" s="59" t="s">
        <v>130</v>
      </c>
      <c r="H96" s="59">
        <v>9</v>
      </c>
      <c r="I96" s="59">
        <v>55</v>
      </c>
      <c r="J96" s="59" t="s">
        <v>733</v>
      </c>
      <c r="K96" s="59"/>
      <c r="L96" s="59" t="s">
        <v>748</v>
      </c>
      <c r="M96" s="59">
        <v>3.5152999999999997E-2</v>
      </c>
      <c r="N96" s="59">
        <v>3.5328999999999999E-2</v>
      </c>
      <c r="O96" s="59" t="s">
        <v>749</v>
      </c>
      <c r="P96" s="59" t="s">
        <v>751</v>
      </c>
    </row>
    <row r="97" spans="1:16" hidden="1" x14ac:dyDescent="0.3">
      <c r="A97" t="s">
        <v>762</v>
      </c>
      <c r="B97" s="59">
        <v>100043</v>
      </c>
      <c r="C97" s="59">
        <v>1090709.3</v>
      </c>
      <c r="D97" s="59">
        <v>0</v>
      </c>
      <c r="E97" s="59" t="s">
        <v>129</v>
      </c>
      <c r="F97" s="59" t="s">
        <v>96</v>
      </c>
      <c r="G97" s="59" t="s">
        <v>129</v>
      </c>
      <c r="H97" s="59">
        <v>10</v>
      </c>
      <c r="I97" s="59">
        <v>55</v>
      </c>
      <c r="J97" s="59" t="s">
        <v>733</v>
      </c>
      <c r="K97" s="59"/>
      <c r="L97" s="59" t="s">
        <v>748</v>
      </c>
      <c r="M97" s="59">
        <v>3.5152999999999997E-2</v>
      </c>
      <c r="N97" s="59">
        <v>3.5328999999999999E-2</v>
      </c>
      <c r="O97" s="59" t="s">
        <v>749</v>
      </c>
      <c r="P97" s="59" t="s">
        <v>751</v>
      </c>
    </row>
    <row r="98" spans="1:16" x14ac:dyDescent="0.3">
      <c r="A98" t="s">
        <v>762</v>
      </c>
      <c r="B98" s="59">
        <v>100044</v>
      </c>
      <c r="C98" s="59">
        <v>1117027.8999999999</v>
      </c>
      <c r="D98" s="59">
        <v>0</v>
      </c>
      <c r="E98" s="59" t="s">
        <v>129</v>
      </c>
      <c r="F98" s="59" t="s">
        <v>97</v>
      </c>
      <c r="G98" s="59" t="s">
        <v>130</v>
      </c>
      <c r="H98" s="59">
        <v>11</v>
      </c>
      <c r="I98" s="59">
        <v>55</v>
      </c>
      <c r="J98" s="59" t="s">
        <v>97</v>
      </c>
      <c r="K98" s="59"/>
      <c r="L98" s="59" t="s">
        <v>748</v>
      </c>
      <c r="M98" s="59">
        <v>3.5152999999999997E-2</v>
      </c>
      <c r="N98" s="59">
        <v>3.5328999999999999E-2</v>
      </c>
      <c r="O98" s="59" t="s">
        <v>749</v>
      </c>
      <c r="P98" s="59" t="s">
        <v>751</v>
      </c>
    </row>
    <row r="99" spans="1:16" hidden="1" x14ac:dyDescent="0.3">
      <c r="A99" t="s">
        <v>762</v>
      </c>
      <c r="B99" s="59">
        <v>100045</v>
      </c>
      <c r="C99" s="59">
        <v>1143346.5</v>
      </c>
      <c r="D99" s="59">
        <v>0</v>
      </c>
      <c r="E99" s="59" t="s">
        <v>129</v>
      </c>
      <c r="F99" s="59" t="s">
        <v>98</v>
      </c>
      <c r="G99" s="59" t="s">
        <v>129</v>
      </c>
      <c r="H99" s="59">
        <v>12</v>
      </c>
      <c r="I99" s="59">
        <v>66</v>
      </c>
      <c r="J99" s="59" t="s">
        <v>740</v>
      </c>
      <c r="K99" s="59"/>
      <c r="L99" s="59" t="s">
        <v>748</v>
      </c>
      <c r="M99" s="59">
        <v>3.5152999999999997E-2</v>
      </c>
      <c r="N99" s="59">
        <v>3.5328999999999999E-2</v>
      </c>
      <c r="O99" s="59" t="s">
        <v>749</v>
      </c>
      <c r="P99" s="59" t="s">
        <v>751</v>
      </c>
    </row>
    <row r="100" spans="1:16" hidden="1" x14ac:dyDescent="0.3">
      <c r="A100" t="s">
        <v>762</v>
      </c>
      <c r="B100" s="59">
        <v>100046</v>
      </c>
      <c r="C100" s="59">
        <v>1169665.1000000001</v>
      </c>
      <c r="D100" s="59"/>
      <c r="E100" s="59"/>
      <c r="F100" s="59"/>
      <c r="G100" s="59"/>
      <c r="H100" s="59">
        <v>7</v>
      </c>
      <c r="I100" s="59"/>
      <c r="J100" s="59" t="s">
        <v>734</v>
      </c>
      <c r="K100" s="59" t="s">
        <v>743</v>
      </c>
      <c r="L100" s="59" t="s">
        <v>748</v>
      </c>
      <c r="M100" s="59">
        <v>3.5152999999999997E-2</v>
      </c>
      <c r="N100" s="59">
        <v>3.5328999999999999E-2</v>
      </c>
      <c r="O100" s="59" t="s">
        <v>749</v>
      </c>
      <c r="P100" s="59" t="s">
        <v>751</v>
      </c>
    </row>
    <row r="101" spans="1:16" x14ac:dyDescent="0.3">
      <c r="A101" s="59" t="s">
        <v>765</v>
      </c>
      <c r="B101" s="59">
        <v>10001</v>
      </c>
      <c r="C101" s="59">
        <v>562</v>
      </c>
      <c r="D101" s="59">
        <v>0</v>
      </c>
      <c r="E101" s="59" t="s">
        <v>129</v>
      </c>
      <c r="F101" s="59" t="s">
        <v>76</v>
      </c>
      <c r="G101" s="59" t="s">
        <v>130</v>
      </c>
      <c r="H101" s="59">
        <v>7</v>
      </c>
      <c r="I101" s="59">
        <v>55</v>
      </c>
      <c r="J101" s="59" t="s">
        <v>735</v>
      </c>
      <c r="K101" s="59"/>
      <c r="L101" s="59" t="s">
        <v>748</v>
      </c>
      <c r="M101" s="59">
        <v>0.75600000000000001</v>
      </c>
      <c r="N101" s="59">
        <v>0.72299999999999998</v>
      </c>
      <c r="O101" s="59"/>
      <c r="P101" s="59"/>
    </row>
    <row r="102" spans="1:16" hidden="1" x14ac:dyDescent="0.3">
      <c r="A102" s="59" t="s">
        <v>765</v>
      </c>
      <c r="B102" s="59">
        <v>1000893</v>
      </c>
      <c r="C102" s="59">
        <v>6546</v>
      </c>
      <c r="D102" s="59">
        <v>10</v>
      </c>
      <c r="E102" s="59" t="s">
        <v>130</v>
      </c>
      <c r="F102" s="59" t="s">
        <v>89</v>
      </c>
      <c r="G102" s="59" t="s">
        <v>129</v>
      </c>
      <c r="H102" s="59">
        <v>2</v>
      </c>
      <c r="I102" s="59">
        <v>66</v>
      </c>
      <c r="J102" s="59" t="s">
        <v>540</v>
      </c>
      <c r="K102" s="59"/>
      <c r="L102" s="59" t="s">
        <v>748</v>
      </c>
      <c r="M102" s="59">
        <v>0.75600000000000001</v>
      </c>
      <c r="N102" s="59">
        <v>0.72299999999999998</v>
      </c>
      <c r="O102" s="59"/>
      <c r="P102" s="59"/>
    </row>
    <row r="103" spans="1:16" hidden="1" x14ac:dyDescent="0.3">
      <c r="A103" s="59" t="s">
        <v>765</v>
      </c>
      <c r="B103" s="59">
        <v>11000893</v>
      </c>
      <c r="C103" s="59">
        <v>6546</v>
      </c>
      <c r="D103" s="59">
        <v>10</v>
      </c>
      <c r="E103" s="59" t="s">
        <v>1228</v>
      </c>
      <c r="F103" s="59" t="s">
        <v>89</v>
      </c>
      <c r="G103" s="59" t="s">
        <v>1228</v>
      </c>
      <c r="H103" s="59">
        <v>2</v>
      </c>
      <c r="I103" s="59" t="s">
        <v>1228</v>
      </c>
      <c r="J103" s="59" t="s">
        <v>540</v>
      </c>
      <c r="K103" s="59" t="s">
        <v>743</v>
      </c>
      <c r="L103" s="59" t="s">
        <v>748</v>
      </c>
      <c r="M103" s="59">
        <v>0.75600000000000001</v>
      </c>
      <c r="N103" s="59">
        <v>0.72299999999999998</v>
      </c>
      <c r="O103" s="59"/>
      <c r="P103" s="59"/>
    </row>
    <row r="104" spans="1:16" hidden="1" x14ac:dyDescent="0.3">
      <c r="A104" s="59" t="s">
        <v>765</v>
      </c>
      <c r="B104" s="59">
        <v>1000895</v>
      </c>
      <c r="C104" s="59">
        <v>6546</v>
      </c>
      <c r="D104" s="59">
        <v>10</v>
      </c>
      <c r="E104" s="59" t="s">
        <v>130</v>
      </c>
      <c r="F104" s="59" t="s">
        <v>89</v>
      </c>
      <c r="G104" s="59" t="s">
        <v>129</v>
      </c>
      <c r="H104" s="59">
        <v>2</v>
      </c>
      <c r="I104" s="59">
        <v>66</v>
      </c>
      <c r="J104" s="59" t="s">
        <v>540</v>
      </c>
      <c r="K104" s="59"/>
      <c r="L104" s="59" t="s">
        <v>748</v>
      </c>
      <c r="M104" s="59">
        <v>0.75600000000000001</v>
      </c>
      <c r="N104" s="59">
        <v>0.72299999999999998</v>
      </c>
      <c r="O104" s="59"/>
      <c r="P104" s="59"/>
    </row>
    <row r="105" spans="1:16" hidden="1" x14ac:dyDescent="0.3">
      <c r="A105" s="59" t="s">
        <v>765</v>
      </c>
      <c r="B105" s="59">
        <v>11000895</v>
      </c>
      <c r="C105" s="59">
        <v>6546</v>
      </c>
      <c r="D105" s="59">
        <v>10</v>
      </c>
      <c r="E105" s="59" t="s">
        <v>1228</v>
      </c>
      <c r="F105" s="59" t="s">
        <v>89</v>
      </c>
      <c r="G105" s="59" t="s">
        <v>1228</v>
      </c>
      <c r="H105" s="59">
        <v>2</v>
      </c>
      <c r="I105" s="59" t="s">
        <v>1228</v>
      </c>
      <c r="J105" s="59" t="s">
        <v>540</v>
      </c>
      <c r="K105" s="59" t="s">
        <v>743</v>
      </c>
      <c r="L105" s="59" t="s">
        <v>748</v>
      </c>
      <c r="M105" s="59">
        <v>0.75600000000000001</v>
      </c>
      <c r="N105" s="59">
        <v>0.72299999999999998</v>
      </c>
      <c r="O105" s="59"/>
      <c r="P105" s="59"/>
    </row>
    <row r="106" spans="1:16" hidden="1" x14ac:dyDescent="0.3">
      <c r="A106" s="59" t="s">
        <v>765</v>
      </c>
      <c r="B106" s="59">
        <v>1000897</v>
      </c>
      <c r="C106" s="59">
        <v>4545</v>
      </c>
      <c r="D106" s="59">
        <v>1</v>
      </c>
      <c r="E106" s="59" t="s">
        <v>130</v>
      </c>
      <c r="F106" s="59" t="s">
        <v>89</v>
      </c>
      <c r="G106" s="59" t="s">
        <v>129</v>
      </c>
      <c r="H106" s="59">
        <v>1</v>
      </c>
      <c r="I106" s="59">
        <v>66</v>
      </c>
      <c r="J106" s="59" t="s">
        <v>540</v>
      </c>
      <c r="K106" s="59"/>
      <c r="L106" s="59" t="s">
        <v>748</v>
      </c>
      <c r="M106" s="59">
        <v>0.75600000000000001</v>
      </c>
      <c r="N106" s="59">
        <v>0.72299999999999998</v>
      </c>
      <c r="O106" s="59"/>
      <c r="P106" s="59"/>
    </row>
    <row r="107" spans="1:16" hidden="1" x14ac:dyDescent="0.3">
      <c r="A107" s="59" t="s">
        <v>765</v>
      </c>
      <c r="B107" s="59">
        <v>11000897</v>
      </c>
      <c r="C107" s="59">
        <v>4545</v>
      </c>
      <c r="D107" s="59">
        <v>1</v>
      </c>
      <c r="E107" s="59" t="s">
        <v>1228</v>
      </c>
      <c r="F107" s="59" t="s">
        <v>89</v>
      </c>
      <c r="G107" s="59" t="s">
        <v>1228</v>
      </c>
      <c r="H107" s="59">
        <v>1</v>
      </c>
      <c r="I107" s="59" t="s">
        <v>1228</v>
      </c>
      <c r="J107" s="59" t="s">
        <v>540</v>
      </c>
      <c r="K107" s="59" t="s">
        <v>743</v>
      </c>
      <c r="L107" s="59" t="s">
        <v>748</v>
      </c>
      <c r="M107" s="59">
        <v>0.75600000000000001</v>
      </c>
      <c r="N107" s="59">
        <v>0.72299999999999998</v>
      </c>
      <c r="O107" s="59"/>
      <c r="P107" s="59"/>
    </row>
    <row r="108" spans="1:16" hidden="1" x14ac:dyDescent="0.3">
      <c r="A108" s="59" t="s">
        <v>765</v>
      </c>
      <c r="B108" s="59">
        <v>1000899</v>
      </c>
      <c r="C108" s="59">
        <v>4545</v>
      </c>
      <c r="D108" s="59">
        <v>1</v>
      </c>
      <c r="E108" s="59" t="s">
        <v>129</v>
      </c>
      <c r="F108" s="59" t="s">
        <v>78</v>
      </c>
      <c r="G108" s="59" t="s">
        <v>129</v>
      </c>
      <c r="H108" s="59">
        <v>1</v>
      </c>
      <c r="I108" s="59">
        <v>66</v>
      </c>
      <c r="J108" s="59" t="s">
        <v>735</v>
      </c>
      <c r="K108" s="59"/>
      <c r="L108" s="59" t="s">
        <v>748</v>
      </c>
      <c r="M108" s="59">
        <v>0.75600000000000001</v>
      </c>
      <c r="N108" s="59">
        <v>0.72299999999999998</v>
      </c>
      <c r="O108" s="59"/>
      <c r="P108" s="59"/>
    </row>
    <row r="109" spans="1:16" hidden="1" x14ac:dyDescent="0.3">
      <c r="A109" s="59" t="s">
        <v>765</v>
      </c>
      <c r="B109" s="59">
        <v>11000899</v>
      </c>
      <c r="C109" s="59">
        <v>4545</v>
      </c>
      <c r="D109" s="59">
        <v>1</v>
      </c>
      <c r="E109" s="59" t="s">
        <v>1228</v>
      </c>
      <c r="F109" s="59" t="s">
        <v>78</v>
      </c>
      <c r="G109" s="59" t="s">
        <v>1228</v>
      </c>
      <c r="H109" s="59">
        <v>1</v>
      </c>
      <c r="I109" s="59" t="s">
        <v>1228</v>
      </c>
      <c r="J109" s="59" t="s">
        <v>735</v>
      </c>
      <c r="K109" s="59" t="s">
        <v>743</v>
      </c>
      <c r="L109" s="59" t="s">
        <v>748</v>
      </c>
      <c r="M109" s="59">
        <v>0.75600000000000001</v>
      </c>
      <c r="N109" s="59">
        <v>0.72299999999999998</v>
      </c>
      <c r="O109" s="59"/>
      <c r="P109" s="59"/>
    </row>
    <row r="110" spans="1:16" x14ac:dyDescent="0.3">
      <c r="A110" s="59" t="s">
        <v>765</v>
      </c>
      <c r="B110" s="59">
        <v>1000901</v>
      </c>
      <c r="C110" s="59">
        <v>4545</v>
      </c>
      <c r="D110" s="59">
        <v>1</v>
      </c>
      <c r="E110" s="59" t="s">
        <v>129</v>
      </c>
      <c r="F110" s="59" t="s">
        <v>78</v>
      </c>
      <c r="G110" s="59" t="s">
        <v>130</v>
      </c>
      <c r="H110" s="59">
        <v>7</v>
      </c>
      <c r="I110" s="59">
        <v>66</v>
      </c>
      <c r="J110" s="59" t="s">
        <v>735</v>
      </c>
      <c r="K110" s="59"/>
      <c r="L110" s="59" t="s">
        <v>748</v>
      </c>
      <c r="M110" s="59">
        <v>0.75600000000000001</v>
      </c>
      <c r="N110" s="59">
        <v>0.72299999999999998</v>
      </c>
      <c r="O110" s="59"/>
      <c r="P110" s="59"/>
    </row>
    <row r="111" spans="1:16" x14ac:dyDescent="0.3">
      <c r="A111" s="59" t="s">
        <v>765</v>
      </c>
      <c r="B111" s="59">
        <v>1000902</v>
      </c>
      <c r="C111" s="59">
        <v>4545</v>
      </c>
      <c r="D111" s="59">
        <v>1</v>
      </c>
      <c r="E111" s="59" t="s">
        <v>129</v>
      </c>
      <c r="F111" s="59" t="s">
        <v>78</v>
      </c>
      <c r="G111" s="59" t="s">
        <v>130</v>
      </c>
      <c r="H111" s="59">
        <v>1</v>
      </c>
      <c r="I111" s="59">
        <v>66</v>
      </c>
      <c r="J111" s="59" t="s">
        <v>735</v>
      </c>
      <c r="K111" s="59"/>
      <c r="L111" s="59" t="s">
        <v>748</v>
      </c>
      <c r="M111" s="59">
        <v>0.75600000000000001</v>
      </c>
      <c r="N111" s="59">
        <v>0.72299999999999998</v>
      </c>
      <c r="O111" s="59"/>
      <c r="P111" s="59"/>
    </row>
    <row r="112" spans="1:16" x14ac:dyDescent="0.3">
      <c r="A112" s="59" t="s">
        <v>765</v>
      </c>
      <c r="B112" s="59">
        <v>1000903</v>
      </c>
      <c r="C112" s="59">
        <v>945</v>
      </c>
      <c r="D112" s="59">
        <v>1</v>
      </c>
      <c r="E112" s="59" t="s">
        <v>129</v>
      </c>
      <c r="F112" s="59" t="s">
        <v>78</v>
      </c>
      <c r="G112" s="59" t="s">
        <v>130</v>
      </c>
      <c r="H112" s="59">
        <v>1</v>
      </c>
      <c r="I112" s="59">
        <v>66</v>
      </c>
      <c r="J112" s="59" t="s">
        <v>735</v>
      </c>
      <c r="K112" s="59"/>
      <c r="L112" s="59" t="s">
        <v>748</v>
      </c>
      <c r="M112" s="59">
        <v>0.75600000000000001</v>
      </c>
      <c r="N112" s="59">
        <v>0.72299999999999998</v>
      </c>
      <c r="O112" s="59"/>
      <c r="P112" s="59"/>
    </row>
    <row r="113" spans="1:16" x14ac:dyDescent="0.3">
      <c r="A113" s="59" t="s">
        <v>765</v>
      </c>
      <c r="B113" s="59">
        <v>1000904</v>
      </c>
      <c r="C113" s="59">
        <v>5956</v>
      </c>
      <c r="D113" s="59">
        <v>10</v>
      </c>
      <c r="E113" s="59" t="s">
        <v>129</v>
      </c>
      <c r="F113" s="59" t="s">
        <v>79</v>
      </c>
      <c r="G113" s="59" t="s">
        <v>130</v>
      </c>
      <c r="H113" s="59">
        <v>2</v>
      </c>
      <c r="I113" s="59">
        <v>55</v>
      </c>
      <c r="J113" s="59" t="s">
        <v>735</v>
      </c>
      <c r="K113" s="59"/>
      <c r="L113" s="59" t="s">
        <v>748</v>
      </c>
      <c r="M113" s="59">
        <v>0.75600000000000001</v>
      </c>
      <c r="N113" s="59">
        <v>0.72299999999999998</v>
      </c>
      <c r="O113" s="59"/>
      <c r="P113" s="59"/>
    </row>
    <row r="114" spans="1:16" x14ac:dyDescent="0.3">
      <c r="A114" s="59" t="s">
        <v>765</v>
      </c>
      <c r="B114" s="59">
        <v>1000905</v>
      </c>
      <c r="C114" s="59">
        <v>0</v>
      </c>
      <c r="D114" s="59">
        <v>0</v>
      </c>
      <c r="E114" s="59" t="s">
        <v>130</v>
      </c>
      <c r="F114" s="59" t="s">
        <v>53</v>
      </c>
      <c r="G114" s="59" t="s">
        <v>130</v>
      </c>
      <c r="H114" s="59">
        <v>2</v>
      </c>
      <c r="I114" s="59">
        <v>77</v>
      </c>
      <c r="J114" s="59" t="s">
        <v>737</v>
      </c>
      <c r="K114" s="59"/>
      <c r="L114" s="59" t="s">
        <v>748</v>
      </c>
      <c r="M114" s="59">
        <v>0.75600000000000001</v>
      </c>
      <c r="N114" s="59">
        <v>0.72299999999999998</v>
      </c>
      <c r="O114" s="59"/>
      <c r="P114" s="59"/>
    </row>
  </sheetData>
  <autoFilter ref="A15:P114" xr:uid="{C2660656-0AD3-4D49-AD09-324756E23DE5}">
    <filterColumn colId="6">
      <filters>
        <filter val="N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4</vt:i4>
      </vt:variant>
    </vt:vector>
  </HeadingPairs>
  <TitlesOfParts>
    <vt:vector size="15" baseType="lpstr">
      <vt:lpstr>txn</vt:lpstr>
      <vt:lpstr>moffset</vt:lpstr>
      <vt:lpstr>contract</vt:lpstr>
      <vt:lpstr>pricing</vt:lpstr>
      <vt:lpstr>Sheet3</vt:lpstr>
      <vt:lpstr>dataref</vt:lpstr>
      <vt:lpstr>psegm</vt:lpstr>
      <vt:lpstr>invaux</vt:lpstr>
      <vt:lpstr>GeneratedInvoice</vt:lpstr>
      <vt:lpstr>Sheet1</vt:lpstr>
      <vt:lpstr>Sheet2</vt:lpstr>
      <vt:lpstr>GeneratedInvoice!Extract</vt:lpstr>
      <vt:lpstr>invaux!Extract</vt:lpstr>
      <vt:lpstr>pricing!Extract</vt:lpstr>
      <vt:lpstr>Sheet1!Extract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Ruben Ivan</cp:lastModifiedBy>
  <dcterms:created xsi:type="dcterms:W3CDTF">2015-06-05T18:17:20Z</dcterms:created>
  <dcterms:modified xsi:type="dcterms:W3CDTF">2020-04-03T14:19:44Z</dcterms:modified>
</cp:coreProperties>
</file>